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8556" activeTab="3"/>
  </bookViews>
  <sheets>
    <sheet name="day-original" sheetId="1" r:id="rId1"/>
    <sheet name="day-cleaned" sheetId="2" r:id="rId2"/>
    <sheet name="analysis" sheetId="3" r:id="rId3"/>
    <sheet name="results" sheetId="4" r:id="rId4"/>
  </sheets>
  <calcPr calcId="0"/>
  <pivotCaches>
    <pivotCache cacheId="53" r:id="rId5"/>
  </pivotCaches>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alcChain>
</file>

<file path=xl/sharedStrings.xml><?xml version="1.0" encoding="utf-8"?>
<sst xmlns="http://schemas.openxmlformats.org/spreadsheetml/2006/main" count="5396" uniqueCount="965">
  <si>
    <t>instant</t>
  </si>
  <si>
    <t>dteday</t>
  </si>
  <si>
    <t>season</t>
  </si>
  <si>
    <t>yr</t>
  </si>
  <si>
    <t>mnth</t>
  </si>
  <si>
    <t>holiday</t>
  </si>
  <si>
    <t>weekday</t>
  </si>
  <si>
    <t>workingday</t>
  </si>
  <si>
    <t>weathersit</t>
  </si>
  <si>
    <t>temp</t>
  </si>
  <si>
    <t>atemp</t>
  </si>
  <si>
    <t>hum</t>
  </si>
  <si>
    <t>windspeed</t>
  </si>
  <si>
    <t>casual</t>
  </si>
  <si>
    <t>registered</t>
  </si>
  <si>
    <t>cnt</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</si>
  <si>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</si>
  <si>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</si>
  <si>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</si>
  <si>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</si>
  <si>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</si>
  <si>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</si>
  <si>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</si>
  <si>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</si>
  <si>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</si>
  <si>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</si>
  <si>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</si>
  <si>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</si>
  <si>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</si>
  <si>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</si>
  <si>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</si>
  <si>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</si>
  <si>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</si>
  <si>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</si>
  <si>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</si>
  <si>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</si>
  <si>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</si>
  <si>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</si>
  <si>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</si>
  <si>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</si>
  <si>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</si>
  <si>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</si>
  <si>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</si>
  <si>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</si>
  <si>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</si>
  <si>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</si>
  <si>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</si>
  <si>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</si>
  <si>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</si>
  <si>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</si>
  <si>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</si>
  <si>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</si>
  <si>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</si>
  <si>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</si>
  <si>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</si>
  <si>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</si>
  <si>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</si>
  <si>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</si>
  <si>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</si>
  <si>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</si>
  <si>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</si>
  <si>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</si>
  <si>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</si>
  <si>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</si>
  <si>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</si>
  <si>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</si>
  <si>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</si>
  <si>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</si>
  <si>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</si>
  <si>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</si>
  <si>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</si>
  <si>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</si>
  <si>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</si>
  <si>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</si>
  <si>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</si>
  <si>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</si>
  <si>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</si>
  <si>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</si>
  <si>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</si>
  <si>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</si>
  <si>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</si>
  <si>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</si>
  <si>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</si>
  <si>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</si>
  <si>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</si>
  <si>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</si>
  <si>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</si>
  <si>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</si>
  <si>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</si>
  <si>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</si>
  <si>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</si>
  <si>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</si>
  <si>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</si>
  <si>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</si>
  <si>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</si>
  <si>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</si>
  <si>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</si>
  <si>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</si>
  <si>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</si>
  <si>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</si>
  <si>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</si>
  <si>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</si>
  <si>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</si>
  <si>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</si>
  <si>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</si>
  <si>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</si>
  <si>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</si>
  <si>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</si>
  <si>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</si>
  <si>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</si>
  <si>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</si>
  <si>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</si>
  <si>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</si>
  <si>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</si>
  <si>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</si>
  <si>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</si>
  <si>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</si>
  <si>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</si>
  <si>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</si>
  <si>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</si>
  <si>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</si>
  <si>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</si>
  <si>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</si>
  <si>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</si>
  <si>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</si>
  <si>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</si>
  <si>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</si>
  <si>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</si>
  <si>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</si>
  <si>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</si>
  <si>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</si>
  <si>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</si>
  <si>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</si>
  <si>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</si>
  <si>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</si>
  <si>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</si>
  <si>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</si>
  <si>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</si>
  <si>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</si>
  <si>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</si>
  <si>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</si>
  <si>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</si>
  <si>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</si>
  <si>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</si>
  <si>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</si>
  <si>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</si>
  <si>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</si>
  <si>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</si>
  <si>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</si>
  <si>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</si>
  <si>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</si>
  <si>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</si>
  <si>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</si>
  <si>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</si>
  <si>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</si>
  <si>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</si>
  <si>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</si>
  <si>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</si>
  <si>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</si>
  <si>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</si>
  <si>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</si>
  <si>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</si>
  <si>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</si>
  <si>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</si>
  <si>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</si>
  <si>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</si>
  <si>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</si>
  <si>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</si>
  <si>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</si>
  <si>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</si>
  <si>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</si>
  <si>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</si>
  <si>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</si>
  <si>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</si>
  <si>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</si>
  <si>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</si>
  <si>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</si>
  <si>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</si>
  <si>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</si>
  <si>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</si>
  <si>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</si>
  <si>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</si>
  <si>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</si>
  <si>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</si>
  <si>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</si>
  <si>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</si>
  <si>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</si>
  <si>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</si>
  <si>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</si>
  <si>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</si>
  <si>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</si>
  <si>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</si>
  <si>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</si>
  <si>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</si>
  <si>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</si>
  <si>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</si>
  <si>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</si>
  <si>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</si>
  <si>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</si>
  <si>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</si>
  <si>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</si>
  <si>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</si>
  <si>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</si>
  <si>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</si>
  <si>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</si>
  <si>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</si>
  <si>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</si>
  <si>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</si>
  <si>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</si>
  <si>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</si>
  <si>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</si>
  <si>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</si>
  <si>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</si>
  <si>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</si>
  <si>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</si>
  <si>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</si>
  <si>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</si>
  <si>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</si>
  <si>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</si>
  <si>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</si>
  <si>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</si>
  <si>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</si>
  <si>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</si>
  <si>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</si>
  <si>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</si>
  <si>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</si>
  <si>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</si>
  <si>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</si>
  <si>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</si>
  <si>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</si>
  <si>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</si>
  <si>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</si>
  <si>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</si>
  <si>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</si>
  <si>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</si>
  <si>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</si>
  <si>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</si>
  <si>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</si>
  <si>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</si>
  <si>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</si>
  <si>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</si>
  <si>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</si>
  <si>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</si>
  <si>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</si>
  <si>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</si>
  <si>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</si>
  <si>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</si>
  <si>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</si>
  <si>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</si>
  <si>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</si>
  <si>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</si>
  <si>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</si>
  <si>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</si>
  <si>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</si>
  <si>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</si>
  <si>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</si>
  <si>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</si>
  <si>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</si>
  <si>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</si>
  <si>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</si>
  <si>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</si>
  <si>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</si>
  <si>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</si>
  <si>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</si>
  <si>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</si>
  <si>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</si>
  <si>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</si>
  <si>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</si>
  <si>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</si>
  <si>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</si>
  <si>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</si>
  <si>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</si>
  <si>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</si>
  <si>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</si>
  <si>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</si>
  <si>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</si>
  <si>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</si>
  <si>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</si>
  <si>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</si>
  <si>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</si>
  <si>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</si>
  <si>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</si>
  <si>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</si>
  <si>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</si>
  <si>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</si>
  <si>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</si>
  <si>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</si>
  <si>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</si>
  <si>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</si>
  <si>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</si>
  <si>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</si>
  <si>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</si>
  <si>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</si>
  <si>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</si>
  <si>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</si>
  <si>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</si>
  <si>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</si>
  <si>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</si>
  <si>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</si>
  <si>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</si>
  <si>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</si>
  <si>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</si>
  <si>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</si>
  <si>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</si>
  <si>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</si>
  <si>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</si>
  <si>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</si>
  <si>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</si>
  <si>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</si>
  <si>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</si>
  <si>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</si>
  <si>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</si>
  <si>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</si>
  <si>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</si>
  <si>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</si>
  <si>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</si>
  <si>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</si>
  <si>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</si>
  <si>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</si>
  <si>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</si>
  <si>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</si>
  <si>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</si>
  <si>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</si>
  <si>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</si>
  <si>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</si>
  <si>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</si>
  <si>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</si>
  <si>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</si>
  <si>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</si>
  <si>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</si>
  <si>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</si>
  <si>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</si>
  <si>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</si>
  <si>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</si>
  <si>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</si>
  <si>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</si>
  <si>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</si>
  <si>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</si>
  <si>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</si>
  <si>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</si>
  <si>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</si>
  <si>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</si>
  <si>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</si>
  <si>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</si>
  <si>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</si>
  <si>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</si>
  <si>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</si>
  <si>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</si>
  <si>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</si>
  <si>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</si>
  <si>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</si>
  <si>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</si>
  <si>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</si>
  <si>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</si>
  <si>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</si>
  <si>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</si>
  <si>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</si>
  <si>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</si>
  <si>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</si>
  <si>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</si>
  <si>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</si>
  <si>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</si>
  <si>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</si>
  <si>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</si>
  <si>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</si>
  <si>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</si>
  <si>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</si>
  <si>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</si>
  <si>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</si>
  <si>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</si>
  <si>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</si>
  <si>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</si>
  <si>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</si>
  <si>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</si>
  <si>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</si>
  <si>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</si>
  <si>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</si>
  <si>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</si>
  <si>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</si>
  <si>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</si>
  <si>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</si>
  <si>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</si>
  <si>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</si>
  <si>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</si>
  <si>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</si>
  <si>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</si>
  <si>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</si>
  <si>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</si>
  <si>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</si>
  <si>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</si>
  <si>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</si>
  <si>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</si>
  <si>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</si>
  <si>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</si>
  <si>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</si>
  <si>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</si>
  <si>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</si>
  <si>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</si>
  <si>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</si>
  <si>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</si>
  <si>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</si>
  <si>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</si>
  <si>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</si>
  <si>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</si>
  <si>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</si>
  <si>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</si>
  <si>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</si>
  <si>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</si>
  <si>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</si>
  <si>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</si>
  <si>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</si>
  <si>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</si>
  <si>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</si>
  <si>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</si>
  <si>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</si>
  <si>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</si>
  <si>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</si>
  <si>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</si>
  <si>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</si>
  <si>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</si>
  <si>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</si>
  <si>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</si>
  <si>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</si>
  <si>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</si>
  <si>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</si>
  <si>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</si>
  <si>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</si>
  <si>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</si>
  <si>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</si>
  <si>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</si>
  <si>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</si>
  <si>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</si>
  <si>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</si>
  <si>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</si>
  <si>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</si>
  <si>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</si>
  <si>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</si>
  <si>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</si>
  <si>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</si>
  <si>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</si>
  <si>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</si>
  <si>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</si>
  <si>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</si>
  <si>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</si>
  <si>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</si>
  <si>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</si>
  <si>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</si>
  <si>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</si>
  <si>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</si>
  <si>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</si>
  <si>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</si>
  <si>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</si>
  <si>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</si>
  <si>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</si>
  <si>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</si>
  <si>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</si>
  <si>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</si>
  <si>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</si>
  <si>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year</t>
  </si>
  <si>
    <t>month</t>
  </si>
  <si>
    <t>temperature</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</si>
  <si>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</si>
  <si>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</si>
  <si>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</si>
  <si>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</si>
  <si>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</si>
  <si>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</si>
  <si>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</si>
  <si>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</si>
  <si>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</si>
  <si>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</si>
  <si>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</si>
  <si>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</si>
  <si>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</si>
  <si>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</si>
  <si>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</si>
  <si>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</si>
  <si>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</si>
  <si>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</si>
  <si>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</si>
  <si>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</si>
  <si>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</si>
  <si>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</si>
  <si>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</si>
  <si>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</si>
  <si>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</si>
  <si>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</si>
  <si>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</si>
  <si>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</si>
  <si>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</si>
  <si>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</si>
  <si>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</si>
  <si>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</si>
  <si>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</si>
  <si>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</si>
  <si>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</si>
  <si>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</si>
  <si>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</si>
  <si>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</si>
  <si>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</si>
  <si>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</si>
  <si>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</si>
  <si>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</si>
  <si>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</si>
  <si>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</si>
  <si>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</si>
  <si>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</si>
  <si>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</si>
  <si>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</si>
  <si>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</si>
  <si>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</si>
  <si>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</si>
  <si>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</si>
  <si>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</si>
  <si>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</si>
  <si>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</si>
  <si>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</si>
  <si>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</si>
  <si>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</si>
  <si>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</si>
  <si>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</si>
  <si>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</si>
  <si>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</si>
  <si>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</si>
  <si>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</si>
  <si>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</si>
  <si>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</si>
  <si>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</si>
  <si>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</si>
  <si>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</si>
  <si>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</si>
  <si>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</si>
  <si>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</si>
  <si>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</si>
  <si>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</si>
  <si>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</si>
  <si>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</si>
  <si>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</si>
  <si>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</si>
  <si>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</si>
  <si>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</si>
  <si>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</si>
  <si>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</si>
  <si>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</si>
  <si>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</si>
  <si>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</si>
  <si>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</si>
  <si>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</si>
  <si>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</si>
  <si>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</si>
  <si>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</si>
  <si>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</si>
  <si>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</si>
  <si>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</si>
  <si>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</si>
  <si>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</si>
  <si>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</si>
  <si>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</si>
  <si>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</si>
  <si>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</si>
  <si>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</si>
  <si>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</si>
  <si>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</si>
  <si>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</si>
  <si>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</si>
  <si>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</si>
  <si>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</si>
  <si>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</si>
  <si>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</si>
  <si>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</si>
  <si>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</si>
  <si>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</si>
  <si>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</si>
  <si>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</si>
  <si>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</si>
  <si>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</si>
  <si>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</si>
  <si>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</si>
  <si>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</si>
  <si>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</si>
  <si>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</si>
  <si>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</si>
  <si>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</si>
  <si>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</si>
  <si>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</si>
  <si>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</si>
  <si>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</si>
  <si>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</si>
  <si>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</si>
  <si>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</si>
  <si>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</si>
  <si>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</si>
  <si>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</si>
  <si>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</si>
  <si>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</si>
  <si>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</si>
  <si>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</si>
  <si>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</si>
  <si>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</si>
  <si>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</si>
  <si>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</si>
  <si>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</si>
  <si>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</si>
  <si>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</si>
  <si>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</si>
  <si>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</si>
  <si>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</si>
  <si>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</si>
  <si>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</si>
  <si>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</si>
  <si>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</si>
  <si>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</si>
  <si>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</si>
  <si>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</si>
  <si>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</si>
  <si>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</si>
  <si>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</si>
  <si>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</si>
  <si>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</si>
  <si>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</si>
  <si>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</si>
  <si>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</si>
  <si>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</si>
  <si>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</si>
  <si>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</si>
  <si>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</si>
  <si>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</si>
  <si>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</si>
  <si>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</si>
  <si>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</si>
  <si>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</si>
  <si>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</si>
  <si>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</si>
  <si>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</si>
  <si>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</si>
  <si>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</si>
  <si>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</si>
  <si>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</si>
  <si>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</si>
  <si>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</si>
  <si>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</si>
  <si>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</si>
  <si>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</si>
  <si>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</si>
  <si>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</si>
  <si>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</si>
  <si>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</si>
  <si>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</si>
  <si>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</si>
  <si>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</si>
  <si>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</si>
  <si>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</si>
  <si>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</si>
  <si>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</si>
  <si>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</si>
  <si>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</si>
  <si>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</si>
  <si>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</si>
  <si>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</si>
  <si>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</si>
  <si>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</si>
  <si>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</si>
  <si>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</si>
  <si>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</si>
  <si>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</si>
  <si>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</si>
  <si>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</si>
  <si>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</si>
  <si>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</si>
  <si>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</si>
  <si>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</si>
  <si>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</si>
  <si>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</si>
  <si>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</si>
  <si>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</si>
  <si>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</si>
  <si>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</si>
  <si>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</si>
  <si>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</si>
  <si>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</si>
  <si>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</si>
  <si>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</si>
  <si>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</si>
  <si>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</si>
  <si>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</si>
  <si>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</si>
  <si>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</si>
  <si>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</si>
  <si>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</si>
  <si>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</si>
  <si>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</si>
  <si>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</si>
  <si>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</si>
  <si>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</si>
  <si>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</si>
  <si>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</si>
  <si>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</si>
  <si>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</si>
  <si>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</si>
  <si>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</si>
  <si>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</si>
  <si>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</si>
  <si>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</si>
  <si>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</si>
  <si>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</si>
  <si>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</si>
  <si>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</si>
  <si>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</si>
  <si>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</si>
  <si>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</si>
  <si>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</si>
  <si>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</si>
  <si>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</si>
  <si>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</si>
  <si>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</si>
  <si>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</si>
  <si>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</si>
  <si>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</si>
  <si>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</si>
  <si>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</si>
  <si>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</si>
  <si>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</si>
  <si>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</si>
  <si>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</si>
  <si>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</si>
  <si>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</si>
  <si>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</si>
  <si>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</si>
  <si>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</si>
  <si>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</si>
  <si>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</si>
  <si>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</si>
  <si>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</si>
  <si>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</si>
  <si>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</si>
  <si>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</si>
  <si>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</si>
  <si>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</si>
  <si>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</si>
  <si>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</si>
  <si>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</si>
  <si>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</si>
  <si>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</si>
  <si>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</si>
  <si>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</si>
  <si>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</si>
  <si>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</si>
  <si>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</si>
  <si>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</si>
  <si>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</si>
  <si>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</si>
  <si>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</si>
  <si>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</si>
  <si>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</si>
  <si>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</si>
  <si>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</si>
  <si>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</si>
  <si>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</si>
  <si>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</si>
  <si>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</si>
  <si>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</si>
  <si>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</si>
  <si>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</si>
  <si>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</si>
  <si>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</si>
  <si>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</si>
  <si>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</si>
  <si>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</si>
  <si>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</si>
  <si>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</si>
  <si>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</si>
  <si>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</si>
  <si>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</si>
  <si>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</si>
  <si>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</si>
  <si>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</si>
  <si>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</si>
  <si>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</si>
  <si>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</si>
  <si>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</si>
  <si>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</si>
  <si>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</si>
  <si>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</si>
  <si>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</si>
  <si>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</si>
  <si>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</si>
  <si>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</si>
  <si>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</si>
  <si>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</si>
  <si>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</si>
  <si>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</si>
  <si>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</si>
  <si>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</si>
  <si>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</si>
  <si>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</si>
  <si>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</si>
  <si>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</si>
  <si>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</si>
  <si>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</si>
  <si>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</si>
  <si>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</si>
  <si>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</si>
  <si>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</si>
  <si>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</si>
  <si>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</si>
  <si>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</si>
  <si>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</si>
  <si>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</si>
  <si>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</si>
  <si>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</si>
  <si>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</si>
  <si>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</si>
  <si>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</si>
  <si>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</si>
  <si>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</si>
  <si>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</si>
  <si>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</si>
  <si>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</si>
  <si>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</si>
  <si>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</si>
  <si>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</si>
  <si>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</si>
  <si>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</si>
  <si>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</si>
  <si>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</si>
  <si>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</si>
  <si>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</si>
  <si>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</si>
  <si>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</si>
  <si>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</si>
  <si>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</si>
  <si>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</si>
  <si>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</si>
  <si>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</si>
  <si>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</si>
  <si>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</si>
  <si>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</si>
  <si>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</si>
  <si>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</si>
  <si>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</si>
  <si>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</si>
  <si>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</si>
  <si>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</si>
  <si>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</si>
  <si>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</si>
  <si>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</si>
  <si>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</si>
  <si>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</si>
  <si>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</si>
  <si>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</si>
  <si>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</si>
  <si>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</si>
  <si>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</si>
  <si>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</si>
  <si>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</si>
  <si>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</si>
  <si>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</si>
  <si>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</si>
  <si>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</si>
  <si>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</si>
  <si>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</si>
  <si>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</si>
  <si>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</si>
  <si>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</si>
  <si>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</si>
  <si>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</si>
  <si>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</si>
  <si>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</si>
  <si>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</si>
  <si>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</si>
  <si>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</si>
  <si>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</si>
  <si>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</si>
  <si>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</si>
  <si>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</si>
  <si>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</si>
  <si>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</si>
  <si>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</si>
  <si>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</si>
  <si>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</si>
  <si>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</si>
  <si>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</si>
  <si>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</si>
  <si>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</si>
  <si>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</si>
  <si>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</si>
  <si>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</si>
  <si>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</si>
  <si>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</si>
  <si>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</si>
  <si>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</si>
  <si>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</si>
  <si>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</si>
  <si>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</si>
  <si>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</si>
  <si>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</si>
  <si>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</si>
  <si>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</si>
  <si>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</si>
  <si>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</si>
  <si>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</si>
  <si>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</si>
  <si>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</si>
  <si>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humidity</t>
  </si>
  <si>
    <t>Spring</t>
  </si>
  <si>
    <t>Summer</t>
  </si>
  <si>
    <t>Fall</t>
  </si>
  <si>
    <t>Winter</t>
  </si>
  <si>
    <t>no</t>
  </si>
  <si>
    <t>yes</t>
  </si>
  <si>
    <t>Monday</t>
  </si>
  <si>
    <t>Tuesday</t>
  </si>
  <si>
    <t>Wednesday</t>
  </si>
  <si>
    <t>Thursday</t>
  </si>
  <si>
    <t>Friday</t>
  </si>
  <si>
    <t>Saturday</t>
  </si>
  <si>
    <t>Sunday</t>
  </si>
  <si>
    <t xml:space="preserve">Sunny </t>
  </si>
  <si>
    <t>Mist/Cloudy</t>
  </si>
  <si>
    <t>Light rain/snow</t>
  </si>
  <si>
    <t>ID</t>
  </si>
  <si>
    <t>January</t>
  </si>
  <si>
    <t>March</t>
  </si>
  <si>
    <t>April</t>
  </si>
  <si>
    <t>May</t>
  </si>
  <si>
    <t>June</t>
  </si>
  <si>
    <t>July</t>
  </si>
  <si>
    <t>August</t>
  </si>
  <si>
    <t>September</t>
  </si>
  <si>
    <t>October</t>
  </si>
  <si>
    <t>November</t>
  </si>
  <si>
    <t>December</t>
  </si>
  <si>
    <t>February</t>
  </si>
  <si>
    <t>feel_like_temp</t>
  </si>
  <si>
    <t xml:space="preserve">weather </t>
  </si>
  <si>
    <t>date</t>
  </si>
  <si>
    <t>Етикети на редове</t>
  </si>
  <si>
    <t>Обща сума</t>
  </si>
  <si>
    <t>Средно от cnt</t>
  </si>
  <si>
    <t>Средно от registered</t>
  </si>
  <si>
    <t>Средно от casual</t>
  </si>
  <si>
    <t>feel_like_groups</t>
  </si>
  <si>
    <t>0–5°C</t>
  </si>
  <si>
    <t>10–15°C</t>
  </si>
  <si>
    <t>15–20°C</t>
  </si>
  <si>
    <t>20–25°C</t>
  </si>
  <si>
    <t>25–30°C</t>
  </si>
  <si>
    <t>30–35°C</t>
  </si>
  <si>
    <t>35–40°C</t>
  </si>
  <si>
    <t>40–45°C</t>
  </si>
  <si>
    <t>5–10°C</t>
  </si>
  <si>
    <t>humidity_grouped</t>
  </si>
  <si>
    <t>0–20%</t>
  </si>
  <si>
    <t>20–40%</t>
  </si>
  <si>
    <t>40–60%</t>
  </si>
  <si>
    <t>60–80%</t>
  </si>
  <si>
    <t>80–100%</t>
  </si>
  <si>
    <t>0–5 km/h</t>
  </si>
  <si>
    <t>10–15 km/h</t>
  </si>
  <si>
    <t>15–20 km/h</t>
  </si>
  <si>
    <t>20–25 km/h</t>
  </si>
  <si>
    <t>25–30 km/h</t>
  </si>
  <si>
    <t>30–35 km/h</t>
  </si>
  <si>
    <t>5–10 km/h</t>
  </si>
  <si>
    <t>windspeed_grouped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</si>
</sst>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0" fontId="18" fillId="33" borderId="0" xfId="0" applyFont="1" applyFill="1"/>
  </cellXfs>
  <cellStyles count="43">
    <cellStyle name="20% - Акцент1" xfId="20" builtinId="30" customBuiltin="1"/>
    <cellStyle name="20% - Акцент2" xfId="24" builtinId="34" customBuiltin="1"/>
    <cellStyle name="20% - Акцент3" xfId="28" builtinId="38" customBuiltin="1"/>
    <cellStyle name="20% - Акцент4" xfId="32" builtinId="42" customBuiltin="1"/>
    <cellStyle name="20% - Акцент5" xfId="36" builtinId="46" customBuiltin="1"/>
    <cellStyle name="20% - Акцент6" xfId="40" builtinId="50" customBuiltin="1"/>
    <cellStyle name="40% - Акцент1" xfId="21" builtinId="31" customBuiltin="1"/>
    <cellStyle name="40% - Акцент2" xfId="25" builtinId="35" customBuiltin="1"/>
    <cellStyle name="40% - Акцент3" xfId="29" builtinId="39" customBuiltin="1"/>
    <cellStyle name="40% - Акцент4" xfId="33" builtinId="43" customBuiltin="1"/>
    <cellStyle name="40% - Акцент5" xfId="37" builtinId="47" customBuiltin="1"/>
    <cellStyle name="40% - Акцент6" xfId="41" builtinId="51" customBuiltin="1"/>
    <cellStyle name="60% - Акцент1" xfId="22" builtinId="32" customBuiltin="1"/>
    <cellStyle name="60% - Акцент2" xfId="26" builtinId="36" customBuiltin="1"/>
    <cellStyle name="60% - Акцент3" xfId="30" builtinId="40" customBuiltin="1"/>
    <cellStyle name="60% - Акцент4" xfId="34" builtinId="44" customBuiltin="1"/>
    <cellStyle name="60% - Акцент5" xfId="38" builtinId="48" customBuiltin="1"/>
    <cellStyle name="60% - Акцент6" xfId="42" builtinId="52" customBuiltin="1"/>
    <cellStyle name="Акцент1" xfId="19" builtinId="29" customBuiltin="1"/>
    <cellStyle name="Акцент2" xfId="23" builtinId="33" customBuiltin="1"/>
    <cellStyle name="Акцент3" xfId="27" builtinId="37" customBuiltin="1"/>
    <cellStyle name="Акцент4" xfId="31" builtinId="41" customBuiltin="1"/>
    <cellStyle name="Акцент5" xfId="35" builtinId="45" customBuiltin="1"/>
    <cellStyle name="Акцент6" xfId="39" builtinId="49" customBuiltin="1"/>
    <cellStyle name="Бележка" xfId="16" builtinId="10" customBuiltin="1"/>
    <cellStyle name="Вход" xfId="10" builtinId="20" customBuiltin="1"/>
    <cellStyle name="Добър" xfId="7" builtinId="26" customBuiltin="1"/>
    <cellStyle name="Заглавие" xfId="2" builtinId="15" customBuiltin="1"/>
    <cellStyle name="Заглавие 1" xfId="3" builtinId="16" customBuiltin="1"/>
    <cellStyle name="Заглавие 2" xfId="4" builtinId="17" customBuiltin="1"/>
    <cellStyle name="Заглавие 3" xfId="5" builtinId="18" customBuiltin="1"/>
    <cellStyle name="Заглавие 4" xfId="6" builtinId="19" customBuiltin="1"/>
    <cellStyle name="Изход" xfId="11" builtinId="21" customBuiltin="1"/>
    <cellStyle name="Изчисление" xfId="12" builtinId="22" customBuiltin="1"/>
    <cellStyle name="Контролна клетка" xfId="14" builtinId="23" customBuiltin="1"/>
    <cellStyle name="Лош" xfId="8" builtinId="27" customBuiltin="1"/>
    <cellStyle name="Неутрален" xfId="9" builtinId="28" customBuiltin="1"/>
    <cellStyle name="Нормален" xfId="0" builtinId="0"/>
    <cellStyle name="Обяснителен текст" xfId="17" builtinId="53" customBuiltin="1"/>
    <cellStyle name="Предупредителен текст" xfId="15" builtinId="11" customBuiltin="1"/>
    <cellStyle name="Процент" xfId="1" builtinId="5"/>
    <cellStyle name="Свързана клетка" xfId="13" builtinId="24" customBuiltin="1"/>
    <cellStyle name="Сума" xfId="18" builtinId="25" customBuiltin="1"/>
  </cellStyles>
  <dxfs count="54">
    <dxf>
      <numFmt numFmtId="2" formatCode="0.00"/>
    </dxf>
    <dxf>
      <numFmt numFmtId="166" formatCode="0.0"/>
    </dxf>
    <dxf>
      <numFmt numFmtId="1" formatCode="0"/>
    </dxf>
    <dxf>
      <numFmt numFmtId="1" formatCode="0"/>
    </dxf>
    <dxf>
      <numFmt numFmtId="166" formatCode="0.0"/>
    </dxf>
    <dxf>
      <numFmt numFmtId="2" formatCode="0.00"/>
    </dxf>
    <dxf>
      <numFmt numFmtId="1" formatCode="0"/>
    </dxf>
    <dxf>
      <font>
        <b val="0"/>
        <i val="0"/>
        <strike val="0"/>
        <condense val="0"/>
        <extend val="0"/>
        <outline val="0"/>
        <shadow val="0"/>
        <u val="none"/>
        <vertAlign val="baseline"/>
        <sz val="11"/>
        <color theme="1"/>
        <name val="Calibri"/>
        <scheme val="minor"/>
      </font>
      <numFmt numFmtId="1" formatCode="0"/>
    </dxf>
    <dxf>
      <numFmt numFmtId="1" formatCode="0"/>
    </dxf>
    <dxf>
      <numFmt numFmtId="1" formatCode="0"/>
    </dxf>
    <dxf>
      <numFmt numFmtId="1" formatCode="0"/>
    </dxf>
    <dxf>
      <numFmt numFmtId="2" formatCode="0.00"/>
    </dxf>
    <dxf>
      <numFmt numFmtId="166" formatCode="0.0"/>
    </dxf>
    <dxf>
      <numFmt numFmtId="1" formatCode="0"/>
    </dxf>
    <dxf>
      <numFmt numFmtId="1" formatCode="0"/>
    </dxf>
    <dxf>
      <numFmt numFmtId="166" formatCode="0.0"/>
    </dxf>
    <dxf>
      <numFmt numFmtId="2" formatCode="0.00"/>
    </dxf>
    <dxf>
      <numFmt numFmtId="1" formatCode="0"/>
    </dxf>
    <dxf>
      <numFmt numFmtId="166" formatCode="0.0"/>
    </dxf>
    <dxf>
      <numFmt numFmtId="2" formatCode="0.00"/>
    </dxf>
    <dxf>
      <numFmt numFmtId="168" formatCode="0.000"/>
    </dxf>
    <dxf>
      <numFmt numFmtId="167" formatCode="0.0000"/>
    </dxf>
    <dxf>
      <numFmt numFmtId="1" formatCode="0"/>
    </dxf>
    <dxf>
      <numFmt numFmtId="1" formatCode="0"/>
    </dxf>
    <dxf>
      <numFmt numFmtId="167" formatCode="0.0000"/>
    </dxf>
    <dxf>
      <numFmt numFmtId="168" formatCode="0.000"/>
    </dxf>
    <dxf>
      <numFmt numFmtId="2" formatCode="0.00"/>
    </dxf>
    <dxf>
      <numFmt numFmtId="166" formatCode="0.0"/>
    </dxf>
    <dxf>
      <numFmt numFmtId="1" formatCode="0"/>
    </dxf>
    <dxf>
      <numFmt numFmtId="167" formatCode="0.0000"/>
    </dxf>
    <dxf>
      <numFmt numFmtId="168" formatCode="0.000"/>
    </dxf>
    <dxf>
      <numFmt numFmtId="2" formatCode="0.00"/>
    </dxf>
    <dxf>
      <numFmt numFmtId="166" formatCode="0.0"/>
    </dxf>
    <dxf>
      <numFmt numFmtId="1" formatCode="0"/>
    </dxf>
    <dxf>
      <numFmt numFmtId="167" formatCode="0.0000"/>
    </dxf>
    <dxf>
      <numFmt numFmtId="168" formatCode="0.000"/>
    </dxf>
    <dxf>
      <numFmt numFmtId="2" formatCode="0.00"/>
    </dxf>
    <dxf>
      <numFmt numFmtId="166" formatCode="0.0"/>
    </dxf>
    <dxf>
      <numFmt numFmtId="1" formatCode="0"/>
    </dxf>
    <dxf>
      <numFmt numFmtId="167" formatCode="0.0000"/>
    </dxf>
    <dxf>
      <numFmt numFmtId="168" formatCode="0.000"/>
    </dxf>
    <dxf>
      <numFmt numFmtId="2" formatCode="0.00"/>
    </dxf>
    <dxf>
      <numFmt numFmtId="166" formatCode="0.0"/>
    </dxf>
    <dxf>
      <numFmt numFmtId="1" formatCode="0"/>
    </dxf>
    <dxf>
      <numFmt numFmtId="1" formatCode="0"/>
    </dxf>
    <dxf>
      <numFmt numFmtId="166" formatCode="0.0"/>
    </dxf>
    <dxf>
      <numFmt numFmtId="2" formatCode="0.00"/>
    </dxf>
    <dxf>
      <numFmt numFmtId="168" formatCode="0.000"/>
    </dxf>
    <dxf>
      <numFmt numFmtId="167" formatCode="0.0000"/>
    </dxf>
    <dxf>
      <numFmt numFmtId="1" formatCode="0"/>
    </dxf>
    <dxf>
      <numFmt numFmtId="1" formatCode="0"/>
    </dxf>
    <dxf>
      <numFmt numFmtId="1" formatCode="0"/>
    </dxf>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CNT per MONTH</a:t>
            </a:r>
            <a:endParaRPr lang="bg-BG"/>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s>
    <c:plotArea>
      <c:layout/>
      <c:barChart>
        <c:barDir val="col"/>
        <c:grouping val="clustered"/>
        <c:varyColors val="0"/>
        <c:ser>
          <c:idx val="0"/>
          <c:order val="0"/>
          <c:tx>
            <c:strRef>
              <c:f>analysis!$B$1</c:f>
              <c:strCache>
                <c:ptCount val="1"/>
                <c:pt idx="0">
                  <c:v>Общо</c:v>
                </c:pt>
              </c:strCache>
            </c:strRef>
          </c:tx>
          <c:spPr>
            <a:solidFill>
              <a:schemeClr val="accent1"/>
            </a:solidFill>
            <a:ln>
              <a:noFill/>
            </a:ln>
            <a:effectLst/>
          </c:spPr>
          <c:invertIfNegative val="0"/>
          <c:cat>
            <c:strRef>
              <c:f>analysis!$A$2:$A$14</c:f>
              <c:strCache>
                <c:ptCount val="12"/>
                <c:pt idx="0">
                  <c:v>June</c:v>
                </c:pt>
                <c:pt idx="1">
                  <c:v>September</c:v>
                </c:pt>
                <c:pt idx="2">
                  <c:v>August</c:v>
                </c:pt>
                <c:pt idx="3">
                  <c:v>July</c:v>
                </c:pt>
                <c:pt idx="4">
                  <c:v>May</c:v>
                </c:pt>
                <c:pt idx="5">
                  <c:v>October</c:v>
                </c:pt>
                <c:pt idx="6">
                  <c:v>April</c:v>
                </c:pt>
                <c:pt idx="7">
                  <c:v>November</c:v>
                </c:pt>
                <c:pt idx="8">
                  <c:v>March</c:v>
                </c:pt>
                <c:pt idx="9">
                  <c:v>December</c:v>
                </c:pt>
                <c:pt idx="10">
                  <c:v>February</c:v>
                </c:pt>
                <c:pt idx="11">
                  <c:v>January</c:v>
                </c:pt>
              </c:strCache>
            </c:strRef>
          </c:cat>
          <c:val>
            <c:numRef>
              <c:f>analysis!$B$2:$B$14</c:f>
              <c:numCache>
                <c:formatCode>0</c:formatCode>
                <c:ptCount val="12"/>
                <c:pt idx="0">
                  <c:v>5772.3666666666668</c:v>
                </c:pt>
                <c:pt idx="1">
                  <c:v>5766.5166666666664</c:v>
                </c:pt>
                <c:pt idx="2">
                  <c:v>5664.4193548387093</c:v>
                </c:pt>
                <c:pt idx="3">
                  <c:v>5563.677419354839</c:v>
                </c:pt>
                <c:pt idx="4">
                  <c:v>5349.7741935483873</c:v>
                </c:pt>
                <c:pt idx="5">
                  <c:v>5199.2258064516127</c:v>
                </c:pt>
                <c:pt idx="6">
                  <c:v>4484.8999999999996</c:v>
                </c:pt>
                <c:pt idx="7">
                  <c:v>4247.1833333333334</c:v>
                </c:pt>
                <c:pt idx="8">
                  <c:v>3692.2580645161293</c:v>
                </c:pt>
                <c:pt idx="9">
                  <c:v>3403.8064516129034</c:v>
                </c:pt>
                <c:pt idx="10">
                  <c:v>2669.9642857142858</c:v>
                </c:pt>
                <c:pt idx="11">
                  <c:v>2176.3387096774195</c:v>
                </c:pt>
              </c:numCache>
            </c:numRef>
          </c:val>
          <c:extLst>
            <c:ext xmlns:c16="http://schemas.microsoft.com/office/drawing/2014/chart" uri="{C3380CC4-5D6E-409C-BE32-E72D297353CC}">
              <c16:uniqueId val="{00000000-3D5F-4D8F-8DC3-B6BD9937962B}"/>
            </c:ext>
          </c:extLst>
        </c:ser>
        <c:dLbls>
          <c:showLegendKey val="0"/>
          <c:showVal val="0"/>
          <c:showCatName val="0"/>
          <c:showSerName val="0"/>
          <c:showPercent val="0"/>
          <c:showBubbleSize val="0"/>
        </c:dLbls>
        <c:gapWidth val="267"/>
        <c:overlap val="-43"/>
        <c:axId val="243229208"/>
        <c:axId val="243229536"/>
      </c:barChart>
      <c:catAx>
        <c:axId val="2432292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43229536"/>
        <c:crosses val="autoZero"/>
        <c:auto val="1"/>
        <c:lblAlgn val="ctr"/>
        <c:lblOffset val="100"/>
        <c:noMultiLvlLbl val="0"/>
      </c:catAx>
      <c:valAx>
        <c:axId val="243229536"/>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32292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CNT per SEASON</a:t>
            </a:r>
          </a:p>
          <a:p>
            <a:pPr>
              <a:defRPr/>
            </a:pPr>
            <a:endParaRPr lang="bg-BG"/>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analysis!$B$16</c:f>
              <c:strCache>
                <c:ptCount val="1"/>
                <c:pt idx="0">
                  <c:v>Общо</c:v>
                </c:pt>
              </c:strCache>
            </c:strRef>
          </c:tx>
          <c:spPr>
            <a:solidFill>
              <a:schemeClr val="accent1"/>
            </a:solidFill>
            <a:ln>
              <a:noFill/>
            </a:ln>
            <a:effectLst/>
          </c:spPr>
          <c:invertIfNegative val="0"/>
          <c:cat>
            <c:strRef>
              <c:f>analysis!$A$17:$A$21</c:f>
              <c:strCache>
                <c:ptCount val="4"/>
                <c:pt idx="0">
                  <c:v>Summer</c:v>
                </c:pt>
                <c:pt idx="1">
                  <c:v>Spring</c:v>
                </c:pt>
                <c:pt idx="2">
                  <c:v>Fall</c:v>
                </c:pt>
                <c:pt idx="3">
                  <c:v>Winter</c:v>
                </c:pt>
              </c:strCache>
            </c:strRef>
          </c:cat>
          <c:val>
            <c:numRef>
              <c:f>analysis!$B$17:$B$21</c:f>
              <c:numCache>
                <c:formatCode>0</c:formatCode>
                <c:ptCount val="4"/>
                <c:pt idx="0">
                  <c:v>5644.3031914893618</c:v>
                </c:pt>
                <c:pt idx="1">
                  <c:v>4992.33152173913</c:v>
                </c:pt>
                <c:pt idx="2">
                  <c:v>4728.1629213483147</c:v>
                </c:pt>
                <c:pt idx="3">
                  <c:v>2608.411111111111</c:v>
                </c:pt>
              </c:numCache>
            </c:numRef>
          </c:val>
          <c:extLst>
            <c:ext xmlns:c16="http://schemas.microsoft.com/office/drawing/2014/chart" uri="{C3380CC4-5D6E-409C-BE32-E72D297353CC}">
              <c16:uniqueId val="{00000000-3EF8-4897-9861-7380A8E2CA8C}"/>
            </c:ext>
          </c:extLst>
        </c:ser>
        <c:dLbls>
          <c:showLegendKey val="0"/>
          <c:showVal val="0"/>
          <c:showCatName val="0"/>
          <c:showSerName val="0"/>
          <c:showPercent val="0"/>
          <c:showBubbleSize val="0"/>
        </c:dLbls>
        <c:gapWidth val="267"/>
        <c:overlap val="-43"/>
        <c:axId val="468579776"/>
        <c:axId val="468585024"/>
      </c:barChart>
      <c:catAx>
        <c:axId val="4685797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68585024"/>
        <c:crosses val="autoZero"/>
        <c:auto val="1"/>
        <c:lblAlgn val="ctr"/>
        <c:lblOffset val="100"/>
        <c:noMultiLvlLbl val="0"/>
      </c:catAx>
      <c:valAx>
        <c:axId val="468585024"/>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857977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таблица3</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CNT per DAY</a:t>
            </a:r>
            <a:endParaRPr lang="bg-BG"/>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analysis!$J$2</c:f>
              <c:strCache>
                <c:ptCount val="1"/>
                <c:pt idx="0">
                  <c:v>Средно от cnt</c:v>
                </c:pt>
              </c:strCache>
            </c:strRef>
          </c:tx>
          <c:spPr>
            <a:solidFill>
              <a:schemeClr val="accent1"/>
            </a:solidFill>
            <a:ln>
              <a:noFill/>
            </a:ln>
            <a:effectLst/>
          </c:spPr>
          <c:invertIfNegative val="0"/>
          <c:cat>
            <c:strRef>
              <c:f>analysis!$I$3:$I$10</c:f>
              <c:strCache>
                <c:ptCount val="7"/>
                <c:pt idx="0">
                  <c:v>Friday</c:v>
                </c:pt>
                <c:pt idx="1">
                  <c:v>Thursday</c:v>
                </c:pt>
                <c:pt idx="2">
                  <c:v>Wednesday</c:v>
                </c:pt>
                <c:pt idx="3">
                  <c:v>Saturday</c:v>
                </c:pt>
                <c:pt idx="4">
                  <c:v>Tuesday</c:v>
                </c:pt>
                <c:pt idx="5">
                  <c:v>Monday</c:v>
                </c:pt>
                <c:pt idx="6">
                  <c:v>Sunday</c:v>
                </c:pt>
              </c:strCache>
            </c:strRef>
          </c:cat>
          <c:val>
            <c:numRef>
              <c:f>analysis!$J$3:$J$10</c:f>
              <c:numCache>
                <c:formatCode>0</c:formatCode>
                <c:ptCount val="7"/>
                <c:pt idx="0">
                  <c:v>4690.2884615384619</c:v>
                </c:pt>
                <c:pt idx="1">
                  <c:v>4667.2596153846152</c:v>
                </c:pt>
                <c:pt idx="2">
                  <c:v>4574.8932038834955</c:v>
                </c:pt>
                <c:pt idx="3">
                  <c:v>4550.5428571428574</c:v>
                </c:pt>
                <c:pt idx="4">
                  <c:v>4510.6634615384619</c:v>
                </c:pt>
                <c:pt idx="5">
                  <c:v>4338.1238095238095</c:v>
                </c:pt>
                <c:pt idx="6">
                  <c:v>4228.8285714285712</c:v>
                </c:pt>
              </c:numCache>
            </c:numRef>
          </c:val>
          <c:extLst>
            <c:ext xmlns:c16="http://schemas.microsoft.com/office/drawing/2014/chart" uri="{C3380CC4-5D6E-409C-BE32-E72D297353CC}">
              <c16:uniqueId val="{00000000-B5A2-4E8E-A456-668BDDA5E1F8}"/>
            </c:ext>
          </c:extLst>
        </c:ser>
        <c:ser>
          <c:idx val="1"/>
          <c:order val="1"/>
          <c:tx>
            <c:strRef>
              <c:f>analysis!$K$2</c:f>
              <c:strCache>
                <c:ptCount val="1"/>
                <c:pt idx="0">
                  <c:v>Средно от registered</c:v>
                </c:pt>
              </c:strCache>
            </c:strRef>
          </c:tx>
          <c:spPr>
            <a:solidFill>
              <a:schemeClr val="accent2"/>
            </a:solidFill>
            <a:ln>
              <a:noFill/>
            </a:ln>
            <a:effectLst/>
          </c:spPr>
          <c:invertIfNegative val="0"/>
          <c:cat>
            <c:strRef>
              <c:f>analysis!$I$3:$I$10</c:f>
              <c:strCache>
                <c:ptCount val="7"/>
                <c:pt idx="0">
                  <c:v>Friday</c:v>
                </c:pt>
                <c:pt idx="1">
                  <c:v>Thursday</c:v>
                </c:pt>
                <c:pt idx="2">
                  <c:v>Wednesday</c:v>
                </c:pt>
                <c:pt idx="3">
                  <c:v>Saturday</c:v>
                </c:pt>
                <c:pt idx="4">
                  <c:v>Tuesday</c:v>
                </c:pt>
                <c:pt idx="5">
                  <c:v>Monday</c:v>
                </c:pt>
                <c:pt idx="6">
                  <c:v>Sunday</c:v>
                </c:pt>
              </c:strCache>
            </c:strRef>
          </c:cat>
          <c:val>
            <c:numRef>
              <c:f>analysis!$K$3:$K$10</c:f>
              <c:numCache>
                <c:formatCode>0</c:formatCode>
                <c:ptCount val="7"/>
                <c:pt idx="0">
                  <c:v>3938</c:v>
                </c:pt>
                <c:pt idx="1">
                  <c:v>4076.2980769230771</c:v>
                </c:pt>
                <c:pt idx="2">
                  <c:v>4019.029126213592</c:v>
                </c:pt>
                <c:pt idx="3">
                  <c:v>3085.2857142857142</c:v>
                </c:pt>
                <c:pt idx="4">
                  <c:v>3954.4807692307691</c:v>
                </c:pt>
                <c:pt idx="5">
                  <c:v>3663.9904761904763</c:v>
                </c:pt>
                <c:pt idx="6">
                  <c:v>2890.5333333333333</c:v>
                </c:pt>
              </c:numCache>
            </c:numRef>
          </c:val>
          <c:extLst>
            <c:ext xmlns:c16="http://schemas.microsoft.com/office/drawing/2014/chart" uri="{C3380CC4-5D6E-409C-BE32-E72D297353CC}">
              <c16:uniqueId val="{00000001-B5A2-4E8E-A456-668BDDA5E1F8}"/>
            </c:ext>
          </c:extLst>
        </c:ser>
        <c:ser>
          <c:idx val="2"/>
          <c:order val="2"/>
          <c:tx>
            <c:strRef>
              <c:f>analysis!$L$2</c:f>
              <c:strCache>
                <c:ptCount val="1"/>
                <c:pt idx="0">
                  <c:v>Средно от casual</c:v>
                </c:pt>
              </c:strCache>
            </c:strRef>
          </c:tx>
          <c:spPr>
            <a:solidFill>
              <a:schemeClr val="accent3"/>
            </a:solidFill>
            <a:ln>
              <a:noFill/>
            </a:ln>
            <a:effectLst/>
          </c:spPr>
          <c:invertIfNegative val="0"/>
          <c:cat>
            <c:strRef>
              <c:f>analysis!$I$3:$I$10</c:f>
              <c:strCache>
                <c:ptCount val="7"/>
                <c:pt idx="0">
                  <c:v>Friday</c:v>
                </c:pt>
                <c:pt idx="1">
                  <c:v>Thursday</c:v>
                </c:pt>
                <c:pt idx="2">
                  <c:v>Wednesday</c:v>
                </c:pt>
                <c:pt idx="3">
                  <c:v>Saturday</c:v>
                </c:pt>
                <c:pt idx="4">
                  <c:v>Tuesday</c:v>
                </c:pt>
                <c:pt idx="5">
                  <c:v>Monday</c:v>
                </c:pt>
                <c:pt idx="6">
                  <c:v>Sunday</c:v>
                </c:pt>
              </c:strCache>
            </c:strRef>
          </c:cat>
          <c:val>
            <c:numRef>
              <c:f>analysis!$L$3:$L$10</c:f>
              <c:numCache>
                <c:formatCode>0</c:formatCode>
                <c:ptCount val="7"/>
                <c:pt idx="0">
                  <c:v>752.28846153846155</c:v>
                </c:pt>
                <c:pt idx="1">
                  <c:v>590.96153846153845</c:v>
                </c:pt>
                <c:pt idx="2">
                  <c:v>555.86407766990294</c:v>
                </c:pt>
                <c:pt idx="3">
                  <c:v>1465.2571428571428</c:v>
                </c:pt>
                <c:pt idx="4">
                  <c:v>556.18269230769226</c:v>
                </c:pt>
                <c:pt idx="5">
                  <c:v>674.13333333333333</c:v>
                </c:pt>
                <c:pt idx="6">
                  <c:v>1338.2952380952381</c:v>
                </c:pt>
              </c:numCache>
            </c:numRef>
          </c:val>
          <c:extLst>
            <c:ext xmlns:c16="http://schemas.microsoft.com/office/drawing/2014/chart" uri="{C3380CC4-5D6E-409C-BE32-E72D297353CC}">
              <c16:uniqueId val="{00000002-B5A2-4E8E-A456-668BDDA5E1F8}"/>
            </c:ext>
          </c:extLst>
        </c:ser>
        <c:dLbls>
          <c:showLegendKey val="0"/>
          <c:showVal val="0"/>
          <c:showCatName val="0"/>
          <c:showSerName val="0"/>
          <c:showPercent val="0"/>
          <c:showBubbleSize val="0"/>
        </c:dLbls>
        <c:gapWidth val="267"/>
        <c:overlap val="-43"/>
        <c:axId val="582432096"/>
        <c:axId val="582434720"/>
      </c:barChart>
      <c:catAx>
        <c:axId val="5824320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2434720"/>
        <c:crosses val="autoZero"/>
        <c:auto val="1"/>
        <c:lblAlgn val="ctr"/>
        <c:lblOffset val="100"/>
        <c:noMultiLvlLbl val="0"/>
      </c:catAx>
      <c:valAx>
        <c:axId val="5824347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243209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таблица5</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barChart>
        <c:barDir val="col"/>
        <c:grouping val="clustered"/>
        <c:varyColors val="0"/>
        <c:ser>
          <c:idx val="0"/>
          <c:order val="0"/>
          <c:tx>
            <c:strRef>
              <c:f>analysis!$J$17</c:f>
              <c:strCache>
                <c:ptCount val="1"/>
                <c:pt idx="0">
                  <c:v>Средно от cnt</c:v>
                </c:pt>
              </c:strCache>
            </c:strRef>
          </c:tx>
          <c:spPr>
            <a:solidFill>
              <a:schemeClr val="accent1"/>
            </a:solidFill>
            <a:ln>
              <a:noFill/>
            </a:ln>
            <a:effectLst/>
          </c:spPr>
          <c:invertIfNegative val="0"/>
          <c:cat>
            <c:strRef>
              <c:f>analysis!$I$18:$I$20</c:f>
              <c:strCache>
                <c:ptCount val="2"/>
                <c:pt idx="0">
                  <c:v>no</c:v>
                </c:pt>
                <c:pt idx="1">
                  <c:v>yes</c:v>
                </c:pt>
              </c:strCache>
            </c:strRef>
          </c:cat>
          <c:val>
            <c:numRef>
              <c:f>analysis!$J$18:$J$20</c:f>
              <c:numCache>
                <c:formatCode>0</c:formatCode>
                <c:ptCount val="2"/>
                <c:pt idx="0">
                  <c:v>4330.1688311688313</c:v>
                </c:pt>
                <c:pt idx="1">
                  <c:v>4590.3326653306613</c:v>
                </c:pt>
              </c:numCache>
            </c:numRef>
          </c:val>
          <c:extLst>
            <c:ext xmlns:c16="http://schemas.microsoft.com/office/drawing/2014/chart" uri="{C3380CC4-5D6E-409C-BE32-E72D297353CC}">
              <c16:uniqueId val="{00000000-654E-4523-B7B3-8970AB80A4F6}"/>
            </c:ext>
          </c:extLst>
        </c:ser>
        <c:ser>
          <c:idx val="1"/>
          <c:order val="1"/>
          <c:tx>
            <c:strRef>
              <c:f>analysis!$K$17</c:f>
              <c:strCache>
                <c:ptCount val="1"/>
                <c:pt idx="0">
                  <c:v>Средно от casual</c:v>
                </c:pt>
              </c:strCache>
            </c:strRef>
          </c:tx>
          <c:spPr>
            <a:solidFill>
              <a:schemeClr val="accent2"/>
            </a:solidFill>
            <a:ln>
              <a:noFill/>
            </a:ln>
            <a:effectLst/>
          </c:spPr>
          <c:invertIfNegative val="0"/>
          <c:cat>
            <c:strRef>
              <c:f>analysis!$I$18:$I$20</c:f>
              <c:strCache>
                <c:ptCount val="2"/>
                <c:pt idx="0">
                  <c:v>no</c:v>
                </c:pt>
                <c:pt idx="1">
                  <c:v>yes</c:v>
                </c:pt>
              </c:strCache>
            </c:strRef>
          </c:cat>
          <c:val>
            <c:numRef>
              <c:f>analysis!$K$18:$K$20</c:f>
              <c:numCache>
                <c:formatCode>0</c:formatCode>
                <c:ptCount val="2"/>
                <c:pt idx="0">
                  <c:v>1371.1341991341992</c:v>
                </c:pt>
                <c:pt idx="1">
                  <c:v>607.65531062124251</c:v>
                </c:pt>
              </c:numCache>
            </c:numRef>
          </c:val>
          <c:extLst>
            <c:ext xmlns:c16="http://schemas.microsoft.com/office/drawing/2014/chart" uri="{C3380CC4-5D6E-409C-BE32-E72D297353CC}">
              <c16:uniqueId val="{00000001-654E-4523-B7B3-8970AB80A4F6}"/>
            </c:ext>
          </c:extLst>
        </c:ser>
        <c:ser>
          <c:idx val="2"/>
          <c:order val="2"/>
          <c:tx>
            <c:strRef>
              <c:f>analysis!$L$17</c:f>
              <c:strCache>
                <c:ptCount val="1"/>
                <c:pt idx="0">
                  <c:v>Средно от registered</c:v>
                </c:pt>
              </c:strCache>
            </c:strRef>
          </c:tx>
          <c:spPr>
            <a:solidFill>
              <a:schemeClr val="accent3"/>
            </a:solidFill>
            <a:ln>
              <a:noFill/>
            </a:ln>
            <a:effectLst/>
          </c:spPr>
          <c:invertIfNegative val="0"/>
          <c:cat>
            <c:strRef>
              <c:f>analysis!$I$18:$I$20</c:f>
              <c:strCache>
                <c:ptCount val="2"/>
                <c:pt idx="0">
                  <c:v>no</c:v>
                </c:pt>
                <c:pt idx="1">
                  <c:v>yes</c:v>
                </c:pt>
              </c:strCache>
            </c:strRef>
          </c:cat>
          <c:val>
            <c:numRef>
              <c:f>analysis!$L$18:$L$20</c:f>
              <c:numCache>
                <c:formatCode>0</c:formatCode>
                <c:ptCount val="2"/>
                <c:pt idx="0">
                  <c:v>2959.0346320346321</c:v>
                </c:pt>
                <c:pt idx="1">
                  <c:v>3982.677354709419</c:v>
                </c:pt>
              </c:numCache>
            </c:numRef>
          </c:val>
          <c:extLst>
            <c:ext xmlns:c16="http://schemas.microsoft.com/office/drawing/2014/chart" uri="{C3380CC4-5D6E-409C-BE32-E72D297353CC}">
              <c16:uniqueId val="{00000002-654E-4523-B7B3-8970AB80A4F6}"/>
            </c:ext>
          </c:extLst>
        </c:ser>
        <c:dLbls>
          <c:showLegendKey val="0"/>
          <c:showVal val="0"/>
          <c:showCatName val="0"/>
          <c:showSerName val="0"/>
          <c:showPercent val="0"/>
          <c:showBubbleSize val="0"/>
        </c:dLbls>
        <c:gapWidth val="267"/>
        <c:overlap val="-43"/>
        <c:axId val="465682496"/>
        <c:axId val="465684464"/>
      </c:barChart>
      <c:catAx>
        <c:axId val="4656824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65684464"/>
        <c:crosses val="autoZero"/>
        <c:auto val="1"/>
        <c:lblAlgn val="ctr"/>
        <c:lblOffset val="100"/>
        <c:noMultiLvlLbl val="0"/>
      </c:catAx>
      <c:valAx>
        <c:axId val="465684464"/>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5682496"/>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таблица6</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barChart>
        <c:barDir val="col"/>
        <c:grouping val="clustered"/>
        <c:varyColors val="0"/>
        <c:ser>
          <c:idx val="0"/>
          <c:order val="0"/>
          <c:tx>
            <c:strRef>
              <c:f>analysis!$B$27</c:f>
              <c:strCache>
                <c:ptCount val="1"/>
                <c:pt idx="0">
                  <c:v>Средно от cnt</c:v>
                </c:pt>
              </c:strCache>
            </c:strRef>
          </c:tx>
          <c:spPr>
            <a:solidFill>
              <a:schemeClr val="accent1"/>
            </a:solidFill>
            <a:ln>
              <a:noFill/>
            </a:ln>
            <a:effectLst/>
          </c:spPr>
          <c:invertIfNegative val="0"/>
          <c:cat>
            <c:strRef>
              <c:f>analysis!$A$28:$A$30</c:f>
              <c:strCache>
                <c:ptCount val="2"/>
                <c:pt idx="0">
                  <c:v>no</c:v>
                </c:pt>
                <c:pt idx="1">
                  <c:v>yes</c:v>
                </c:pt>
              </c:strCache>
            </c:strRef>
          </c:cat>
          <c:val>
            <c:numRef>
              <c:f>analysis!$B$28:$B$30</c:f>
              <c:numCache>
                <c:formatCode>0</c:formatCode>
                <c:ptCount val="2"/>
                <c:pt idx="0">
                  <c:v>4530.9026798307477</c:v>
                </c:pt>
                <c:pt idx="1">
                  <c:v>3735</c:v>
                </c:pt>
              </c:numCache>
            </c:numRef>
          </c:val>
          <c:extLst>
            <c:ext xmlns:c16="http://schemas.microsoft.com/office/drawing/2014/chart" uri="{C3380CC4-5D6E-409C-BE32-E72D297353CC}">
              <c16:uniqueId val="{00000000-A259-4B1C-AF74-A9D259DBDA3D}"/>
            </c:ext>
          </c:extLst>
        </c:ser>
        <c:ser>
          <c:idx val="1"/>
          <c:order val="1"/>
          <c:tx>
            <c:strRef>
              <c:f>analysis!$C$27</c:f>
              <c:strCache>
                <c:ptCount val="1"/>
                <c:pt idx="0">
                  <c:v>Средно от registered</c:v>
                </c:pt>
              </c:strCache>
            </c:strRef>
          </c:tx>
          <c:spPr>
            <a:solidFill>
              <a:schemeClr val="accent2"/>
            </a:solidFill>
            <a:ln>
              <a:noFill/>
            </a:ln>
            <a:effectLst/>
          </c:spPr>
          <c:invertIfNegative val="0"/>
          <c:cat>
            <c:strRef>
              <c:f>analysis!$A$28:$A$30</c:f>
              <c:strCache>
                <c:ptCount val="2"/>
                <c:pt idx="0">
                  <c:v>no</c:v>
                </c:pt>
                <c:pt idx="1">
                  <c:v>yes</c:v>
                </c:pt>
              </c:strCache>
            </c:strRef>
          </c:cat>
          <c:val>
            <c:numRef>
              <c:f>analysis!$C$28:$C$30</c:f>
              <c:numCache>
                <c:formatCode>0</c:formatCode>
                <c:ptCount val="2"/>
                <c:pt idx="0">
                  <c:v>3688.0352609308884</c:v>
                </c:pt>
                <c:pt idx="1">
                  <c:v>2670.2857142857142</c:v>
                </c:pt>
              </c:numCache>
            </c:numRef>
          </c:val>
          <c:extLst>
            <c:ext xmlns:c16="http://schemas.microsoft.com/office/drawing/2014/chart" uri="{C3380CC4-5D6E-409C-BE32-E72D297353CC}">
              <c16:uniqueId val="{00000001-A259-4B1C-AF74-A9D259DBDA3D}"/>
            </c:ext>
          </c:extLst>
        </c:ser>
        <c:ser>
          <c:idx val="2"/>
          <c:order val="2"/>
          <c:tx>
            <c:strRef>
              <c:f>analysis!$D$27</c:f>
              <c:strCache>
                <c:ptCount val="1"/>
                <c:pt idx="0">
                  <c:v>Средно от casual</c:v>
                </c:pt>
              </c:strCache>
            </c:strRef>
          </c:tx>
          <c:spPr>
            <a:solidFill>
              <a:schemeClr val="accent3"/>
            </a:solidFill>
            <a:ln>
              <a:noFill/>
            </a:ln>
            <a:effectLst/>
          </c:spPr>
          <c:invertIfNegative val="0"/>
          <c:cat>
            <c:strRef>
              <c:f>analysis!$A$28:$A$30</c:f>
              <c:strCache>
                <c:ptCount val="2"/>
                <c:pt idx="0">
                  <c:v>no</c:v>
                </c:pt>
                <c:pt idx="1">
                  <c:v>yes</c:v>
                </c:pt>
              </c:strCache>
            </c:strRef>
          </c:cat>
          <c:val>
            <c:numRef>
              <c:f>analysis!$D$28:$D$30</c:f>
              <c:numCache>
                <c:formatCode>0</c:formatCode>
                <c:ptCount val="2"/>
                <c:pt idx="0">
                  <c:v>842.86741889985899</c:v>
                </c:pt>
                <c:pt idx="1">
                  <c:v>1064.7142857142858</c:v>
                </c:pt>
              </c:numCache>
            </c:numRef>
          </c:val>
          <c:extLst>
            <c:ext xmlns:c16="http://schemas.microsoft.com/office/drawing/2014/chart" uri="{C3380CC4-5D6E-409C-BE32-E72D297353CC}">
              <c16:uniqueId val="{00000002-A259-4B1C-AF74-A9D259DBDA3D}"/>
            </c:ext>
          </c:extLst>
        </c:ser>
        <c:dLbls>
          <c:showLegendKey val="0"/>
          <c:showVal val="0"/>
          <c:showCatName val="0"/>
          <c:showSerName val="0"/>
          <c:showPercent val="0"/>
          <c:showBubbleSize val="0"/>
        </c:dLbls>
        <c:gapWidth val="267"/>
        <c:overlap val="-43"/>
        <c:axId val="581864480"/>
        <c:axId val="581860216"/>
      </c:barChart>
      <c:catAx>
        <c:axId val="5818644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1860216"/>
        <c:crosses val="autoZero"/>
        <c:auto val="1"/>
        <c:lblAlgn val="ctr"/>
        <c:lblOffset val="100"/>
        <c:noMultiLvlLbl val="0"/>
      </c:catAx>
      <c:valAx>
        <c:axId val="581860216"/>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1864480"/>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таблица7</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marker>
          <c:symbol val="square"/>
          <c:size val="6"/>
          <c:spPr>
            <a:solidFill>
              <a:schemeClr val="accent2"/>
            </a:solidFill>
            <a:ln w="9525">
              <a:solidFill>
                <a:schemeClr val="accent2"/>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analysis!$B$33</c:f>
              <c:strCache>
                <c:ptCount val="1"/>
                <c:pt idx="0">
                  <c:v>Средно от cnt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analysis!$A$34:$A$37</c:f>
              <c:strCache>
                <c:ptCount val="3"/>
                <c:pt idx="0">
                  <c:v>Light rain/snow</c:v>
                </c:pt>
                <c:pt idx="1">
                  <c:v>Mist/Cloudy</c:v>
                </c:pt>
                <c:pt idx="2">
                  <c:v>Sunny </c:v>
                </c:pt>
              </c:strCache>
            </c:strRef>
          </c:cat>
          <c:val>
            <c:numRef>
              <c:f>analysis!$B$34:$B$37</c:f>
              <c:numCache>
                <c:formatCode>0</c:formatCode>
                <c:ptCount val="3"/>
                <c:pt idx="0">
                  <c:v>1803.2857142857142</c:v>
                </c:pt>
                <c:pt idx="1">
                  <c:v>4044.8130081300815</c:v>
                </c:pt>
                <c:pt idx="2">
                  <c:v>4876.7861771058315</c:v>
                </c:pt>
              </c:numCache>
            </c:numRef>
          </c:val>
          <c:extLst>
            <c:ext xmlns:c16="http://schemas.microsoft.com/office/drawing/2014/chart" uri="{C3380CC4-5D6E-409C-BE32-E72D297353CC}">
              <c16:uniqueId val="{00000000-09A6-4DD5-838E-8A5AEA70B67D}"/>
            </c:ext>
          </c:extLst>
        </c:ser>
        <c:ser>
          <c:idx val="1"/>
          <c:order val="1"/>
          <c:tx>
            <c:strRef>
              <c:f>analysis!$C$33</c:f>
              <c:strCache>
                <c:ptCount val="1"/>
                <c:pt idx="0">
                  <c:v>Средно от registered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analysis!$A$34:$A$37</c:f>
              <c:strCache>
                <c:ptCount val="3"/>
                <c:pt idx="0">
                  <c:v>Light rain/snow</c:v>
                </c:pt>
                <c:pt idx="1">
                  <c:v>Mist/Cloudy</c:v>
                </c:pt>
                <c:pt idx="2">
                  <c:v>Sunny </c:v>
                </c:pt>
              </c:strCache>
            </c:strRef>
          </c:cat>
          <c:val>
            <c:numRef>
              <c:f>analysis!$C$34:$C$37</c:f>
              <c:numCache>
                <c:formatCode>0</c:formatCode>
                <c:ptCount val="3"/>
                <c:pt idx="0">
                  <c:v>1617.8095238095239</c:v>
                </c:pt>
                <c:pt idx="1">
                  <c:v>3354.9308943089432</c:v>
                </c:pt>
                <c:pt idx="2">
                  <c:v>3912.7559395248381</c:v>
                </c:pt>
              </c:numCache>
            </c:numRef>
          </c:val>
          <c:extLst>
            <c:ext xmlns:c16="http://schemas.microsoft.com/office/drawing/2014/chart" uri="{C3380CC4-5D6E-409C-BE32-E72D297353CC}">
              <c16:uniqueId val="{00000001-09A6-4DD5-838E-8A5AEA70B67D}"/>
            </c:ext>
          </c:extLst>
        </c:ser>
        <c:ser>
          <c:idx val="2"/>
          <c:order val="2"/>
          <c:tx>
            <c:strRef>
              <c:f>analysis!$D$33</c:f>
              <c:strCache>
                <c:ptCount val="1"/>
                <c:pt idx="0">
                  <c:v>Средно от casual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analysis!$A$34:$A$37</c:f>
              <c:strCache>
                <c:ptCount val="3"/>
                <c:pt idx="0">
                  <c:v>Light rain/snow</c:v>
                </c:pt>
                <c:pt idx="1">
                  <c:v>Mist/Cloudy</c:v>
                </c:pt>
                <c:pt idx="2">
                  <c:v>Sunny </c:v>
                </c:pt>
              </c:strCache>
            </c:strRef>
          </c:cat>
          <c:val>
            <c:numRef>
              <c:f>analysis!$D$34:$D$37</c:f>
              <c:numCache>
                <c:formatCode>0</c:formatCode>
                <c:ptCount val="3"/>
                <c:pt idx="0">
                  <c:v>185.47619047619048</c:v>
                </c:pt>
                <c:pt idx="1">
                  <c:v>689.8821138211382</c:v>
                </c:pt>
                <c:pt idx="2">
                  <c:v>964.03023758099357</c:v>
                </c:pt>
              </c:numCache>
            </c:numRef>
          </c:val>
          <c:extLst>
            <c:ext xmlns:c16="http://schemas.microsoft.com/office/drawing/2014/chart" uri="{C3380CC4-5D6E-409C-BE32-E72D297353CC}">
              <c16:uniqueId val="{00000002-09A6-4DD5-838E-8A5AEA70B67D}"/>
            </c:ext>
          </c:extLst>
        </c:ser>
        <c:dLbls>
          <c:dLblPos val="outEnd"/>
          <c:showLegendKey val="0"/>
          <c:showVal val="1"/>
          <c:showCatName val="0"/>
          <c:showSerName val="0"/>
          <c:showPercent val="0"/>
          <c:showBubbleSize val="0"/>
        </c:dLbls>
        <c:gapWidth val="444"/>
        <c:overlap val="-90"/>
        <c:axId val="379385440"/>
        <c:axId val="379384456"/>
      </c:barChart>
      <c:catAx>
        <c:axId val="37938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9384456"/>
        <c:crosses val="autoZero"/>
        <c:auto val="1"/>
        <c:lblAlgn val="ctr"/>
        <c:lblOffset val="100"/>
        <c:noMultiLvlLbl val="0"/>
      </c:catAx>
      <c:valAx>
        <c:axId val="379384456"/>
        <c:scaling>
          <c:orientation val="minMax"/>
        </c:scaling>
        <c:delete val="1"/>
        <c:axPos val="l"/>
        <c:numFmt formatCode="0" sourceLinked="1"/>
        <c:majorTickMark val="none"/>
        <c:minorTickMark val="none"/>
        <c:tickLblPos val="nextTo"/>
        <c:crossAx val="379385440"/>
        <c:crosses val="autoZero"/>
        <c:crossBetween val="between"/>
      </c:valAx>
      <c:spPr>
        <a:noFill/>
        <a:ln>
          <a:noFill/>
        </a:ln>
        <a:effectLst/>
      </c:spPr>
    </c:plotArea>
    <c:legend>
      <c:legendPos val="r"/>
      <c:layout>
        <c:manualLayout>
          <c:xMode val="edge"/>
          <c:yMode val="edge"/>
          <c:x val="0.7838807972717029"/>
          <c:y val="0.55015531641274951"/>
          <c:w val="0.20137497517309147"/>
          <c:h val="0.32726203442894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таблица8</c:name>
    <c:fmtId val="2"/>
  </c:pivotSource>
  <c:chart>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square"/>
          <c:size val="6"/>
          <c:spPr>
            <a:solidFill>
              <a:schemeClr val="accent2"/>
            </a:solidFill>
            <a:ln w="9525">
              <a:solidFill>
                <a:schemeClr val="accent2"/>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analysis!$B$42</c:f>
              <c:strCache>
                <c:ptCount val="1"/>
                <c:pt idx="0">
                  <c:v>Средно от cnt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analysis!$A$43:$A$52</c:f>
              <c:strCache>
                <c:ptCount val="9"/>
                <c:pt idx="0">
                  <c:v>30–35°C</c:v>
                </c:pt>
                <c:pt idx="1">
                  <c:v>25–30°C</c:v>
                </c:pt>
                <c:pt idx="2">
                  <c:v>35–40°C</c:v>
                </c:pt>
                <c:pt idx="3">
                  <c:v>20–25°C</c:v>
                </c:pt>
                <c:pt idx="4">
                  <c:v>40–45°C</c:v>
                </c:pt>
                <c:pt idx="5">
                  <c:v>15–20°C</c:v>
                </c:pt>
                <c:pt idx="6">
                  <c:v>10–15°C</c:v>
                </c:pt>
                <c:pt idx="7">
                  <c:v>5–10°C</c:v>
                </c:pt>
                <c:pt idx="8">
                  <c:v>0–5°C</c:v>
                </c:pt>
              </c:strCache>
            </c:strRef>
          </c:cat>
          <c:val>
            <c:numRef>
              <c:f>analysis!$B$43:$B$52</c:f>
              <c:numCache>
                <c:formatCode>0</c:formatCode>
                <c:ptCount val="9"/>
                <c:pt idx="0">
                  <c:v>5703.1301369863013</c:v>
                </c:pt>
                <c:pt idx="1">
                  <c:v>5688.9615384615381</c:v>
                </c:pt>
                <c:pt idx="2">
                  <c:v>5478.958333333333</c:v>
                </c:pt>
                <c:pt idx="3">
                  <c:v>4483.1964285714284</c:v>
                </c:pt>
                <c:pt idx="4">
                  <c:v>3824</c:v>
                </c:pt>
                <c:pt idx="5">
                  <c:v>3658.290076335878</c:v>
                </c:pt>
                <c:pt idx="6">
                  <c:v>2537.7333333333331</c:v>
                </c:pt>
                <c:pt idx="7">
                  <c:v>1640.0384615384614</c:v>
                </c:pt>
                <c:pt idx="8">
                  <c:v>983.5</c:v>
                </c:pt>
              </c:numCache>
            </c:numRef>
          </c:val>
          <c:extLst>
            <c:ext xmlns:c16="http://schemas.microsoft.com/office/drawing/2014/chart" uri="{C3380CC4-5D6E-409C-BE32-E72D297353CC}">
              <c16:uniqueId val="{00000000-6956-4E43-8D51-CFEF82182B7B}"/>
            </c:ext>
          </c:extLst>
        </c:ser>
        <c:ser>
          <c:idx val="1"/>
          <c:order val="1"/>
          <c:tx>
            <c:strRef>
              <c:f>analysis!$C$42</c:f>
              <c:strCache>
                <c:ptCount val="1"/>
                <c:pt idx="0">
                  <c:v>Средно от registered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analysis!$A$43:$A$52</c:f>
              <c:strCache>
                <c:ptCount val="9"/>
                <c:pt idx="0">
                  <c:v>30–35°C</c:v>
                </c:pt>
                <c:pt idx="1">
                  <c:v>25–30°C</c:v>
                </c:pt>
                <c:pt idx="2">
                  <c:v>35–40°C</c:v>
                </c:pt>
                <c:pt idx="3">
                  <c:v>20–25°C</c:v>
                </c:pt>
                <c:pt idx="4">
                  <c:v>40–45°C</c:v>
                </c:pt>
                <c:pt idx="5">
                  <c:v>15–20°C</c:v>
                </c:pt>
                <c:pt idx="6">
                  <c:v>10–15°C</c:v>
                </c:pt>
                <c:pt idx="7">
                  <c:v>5–10°C</c:v>
                </c:pt>
                <c:pt idx="8">
                  <c:v>0–5°C</c:v>
                </c:pt>
              </c:strCache>
            </c:strRef>
          </c:cat>
          <c:val>
            <c:numRef>
              <c:f>analysis!$C$43:$C$52</c:f>
              <c:numCache>
                <c:formatCode>0</c:formatCode>
                <c:ptCount val="9"/>
                <c:pt idx="0">
                  <c:v>4399.8150684931506</c:v>
                </c:pt>
                <c:pt idx="1">
                  <c:v>4541.8076923076924</c:v>
                </c:pt>
                <c:pt idx="2">
                  <c:v>4398.333333333333</c:v>
                </c:pt>
                <c:pt idx="3">
                  <c:v>3648.8214285714284</c:v>
                </c:pt>
                <c:pt idx="4">
                  <c:v>2916.75</c:v>
                </c:pt>
                <c:pt idx="5">
                  <c:v>3114.0534351145038</c:v>
                </c:pt>
                <c:pt idx="6">
                  <c:v>2274.1238095238095</c:v>
                </c:pt>
                <c:pt idx="7">
                  <c:v>1542.1153846153845</c:v>
                </c:pt>
                <c:pt idx="8">
                  <c:v>862</c:v>
                </c:pt>
              </c:numCache>
            </c:numRef>
          </c:val>
          <c:extLst>
            <c:ext xmlns:c16="http://schemas.microsoft.com/office/drawing/2014/chart" uri="{C3380CC4-5D6E-409C-BE32-E72D297353CC}">
              <c16:uniqueId val="{00000001-6956-4E43-8D51-CFEF82182B7B}"/>
            </c:ext>
          </c:extLst>
        </c:ser>
        <c:ser>
          <c:idx val="2"/>
          <c:order val="2"/>
          <c:tx>
            <c:strRef>
              <c:f>analysis!$D$42</c:f>
              <c:strCache>
                <c:ptCount val="1"/>
                <c:pt idx="0">
                  <c:v>Средно от casual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analysis!$A$43:$A$52</c:f>
              <c:strCache>
                <c:ptCount val="9"/>
                <c:pt idx="0">
                  <c:v>30–35°C</c:v>
                </c:pt>
                <c:pt idx="1">
                  <c:v>25–30°C</c:v>
                </c:pt>
                <c:pt idx="2">
                  <c:v>35–40°C</c:v>
                </c:pt>
                <c:pt idx="3">
                  <c:v>20–25°C</c:v>
                </c:pt>
                <c:pt idx="4">
                  <c:v>40–45°C</c:v>
                </c:pt>
                <c:pt idx="5">
                  <c:v>15–20°C</c:v>
                </c:pt>
                <c:pt idx="6">
                  <c:v>10–15°C</c:v>
                </c:pt>
                <c:pt idx="7">
                  <c:v>5–10°C</c:v>
                </c:pt>
                <c:pt idx="8">
                  <c:v>0–5°C</c:v>
                </c:pt>
              </c:strCache>
            </c:strRef>
          </c:cat>
          <c:val>
            <c:numRef>
              <c:f>analysis!$D$43:$D$52</c:f>
              <c:numCache>
                <c:formatCode>0</c:formatCode>
                <c:ptCount val="9"/>
                <c:pt idx="0">
                  <c:v>1303.3150684931506</c:v>
                </c:pt>
                <c:pt idx="1">
                  <c:v>1147.1538461538462</c:v>
                </c:pt>
                <c:pt idx="2">
                  <c:v>1080.625</c:v>
                </c:pt>
                <c:pt idx="3">
                  <c:v>834.375</c:v>
                </c:pt>
                <c:pt idx="4">
                  <c:v>907.25</c:v>
                </c:pt>
                <c:pt idx="5">
                  <c:v>544.23664122137404</c:v>
                </c:pt>
                <c:pt idx="6">
                  <c:v>263.60952380952381</c:v>
                </c:pt>
                <c:pt idx="7">
                  <c:v>97.92307692307692</c:v>
                </c:pt>
                <c:pt idx="8">
                  <c:v>121.5</c:v>
                </c:pt>
              </c:numCache>
            </c:numRef>
          </c:val>
          <c:extLst>
            <c:ext xmlns:c16="http://schemas.microsoft.com/office/drawing/2014/chart" uri="{C3380CC4-5D6E-409C-BE32-E72D297353CC}">
              <c16:uniqueId val="{00000002-6956-4E43-8D51-CFEF82182B7B}"/>
            </c:ext>
          </c:extLst>
        </c:ser>
        <c:dLbls>
          <c:dLblPos val="outEnd"/>
          <c:showLegendKey val="0"/>
          <c:showVal val="1"/>
          <c:showCatName val="0"/>
          <c:showSerName val="0"/>
          <c:showPercent val="0"/>
          <c:showBubbleSize val="0"/>
        </c:dLbls>
        <c:gapWidth val="444"/>
        <c:overlap val="-90"/>
        <c:axId val="680433896"/>
        <c:axId val="680434224"/>
      </c:barChart>
      <c:catAx>
        <c:axId val="680433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0434224"/>
        <c:crosses val="autoZero"/>
        <c:auto val="1"/>
        <c:lblAlgn val="ctr"/>
        <c:lblOffset val="100"/>
        <c:noMultiLvlLbl val="0"/>
      </c:catAx>
      <c:valAx>
        <c:axId val="680434224"/>
        <c:scaling>
          <c:orientation val="minMax"/>
        </c:scaling>
        <c:delete val="1"/>
        <c:axPos val="l"/>
        <c:numFmt formatCode="0" sourceLinked="1"/>
        <c:majorTickMark val="none"/>
        <c:minorTickMark val="none"/>
        <c:tickLblPos val="nextTo"/>
        <c:crossAx val="680433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таблица9</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analysis!$C$63</c:f>
              <c:strCache>
                <c:ptCount val="1"/>
                <c:pt idx="0">
                  <c:v>Средно от cnt</c:v>
                </c:pt>
              </c:strCache>
            </c:strRef>
          </c:tx>
          <c:spPr>
            <a:solidFill>
              <a:schemeClr val="accent1"/>
            </a:solidFill>
            <a:ln>
              <a:noFill/>
            </a:ln>
            <a:effectLst/>
          </c:spPr>
          <c:invertIfNegative val="0"/>
          <c:cat>
            <c:strRef>
              <c:f>analysis!$B$64:$B$69</c:f>
              <c:strCache>
                <c:ptCount val="5"/>
                <c:pt idx="0">
                  <c:v>60–80%</c:v>
                </c:pt>
                <c:pt idx="1">
                  <c:v>40–60%</c:v>
                </c:pt>
                <c:pt idx="2">
                  <c:v>20–40%</c:v>
                </c:pt>
                <c:pt idx="3">
                  <c:v>80–100%</c:v>
                </c:pt>
                <c:pt idx="4">
                  <c:v>0–20%</c:v>
                </c:pt>
              </c:strCache>
            </c:strRef>
          </c:cat>
          <c:val>
            <c:numRef>
              <c:f>analysis!$C$64:$C$69</c:f>
              <c:numCache>
                <c:formatCode>0</c:formatCode>
                <c:ptCount val="5"/>
                <c:pt idx="0">
                  <c:v>4759.4811320754716</c:v>
                </c:pt>
                <c:pt idx="1">
                  <c:v>4588.9691780821922</c:v>
                </c:pt>
                <c:pt idx="2">
                  <c:v>4583.0740740740739</c:v>
                </c:pt>
                <c:pt idx="3">
                  <c:v>3421.4285714285716</c:v>
                </c:pt>
                <c:pt idx="4">
                  <c:v>1129</c:v>
                </c:pt>
              </c:numCache>
            </c:numRef>
          </c:val>
          <c:extLst>
            <c:ext xmlns:c16="http://schemas.microsoft.com/office/drawing/2014/chart" uri="{C3380CC4-5D6E-409C-BE32-E72D297353CC}">
              <c16:uniqueId val="{00000000-B8D7-4C1C-9A5A-31C92CCFCF27}"/>
            </c:ext>
          </c:extLst>
        </c:ser>
        <c:ser>
          <c:idx val="1"/>
          <c:order val="1"/>
          <c:tx>
            <c:strRef>
              <c:f>analysis!$D$63</c:f>
              <c:strCache>
                <c:ptCount val="1"/>
                <c:pt idx="0">
                  <c:v>Средно от registered</c:v>
                </c:pt>
              </c:strCache>
            </c:strRef>
          </c:tx>
          <c:spPr>
            <a:solidFill>
              <a:schemeClr val="accent2"/>
            </a:solidFill>
            <a:ln>
              <a:noFill/>
            </a:ln>
            <a:effectLst/>
          </c:spPr>
          <c:invertIfNegative val="0"/>
          <c:cat>
            <c:strRef>
              <c:f>analysis!$B$64:$B$69</c:f>
              <c:strCache>
                <c:ptCount val="5"/>
                <c:pt idx="0">
                  <c:v>60–80%</c:v>
                </c:pt>
                <c:pt idx="1">
                  <c:v>40–60%</c:v>
                </c:pt>
                <c:pt idx="2">
                  <c:v>20–40%</c:v>
                </c:pt>
                <c:pt idx="3">
                  <c:v>80–100%</c:v>
                </c:pt>
                <c:pt idx="4">
                  <c:v>0–20%</c:v>
                </c:pt>
              </c:strCache>
            </c:strRef>
          </c:cat>
          <c:val>
            <c:numRef>
              <c:f>analysis!$D$64:$D$69</c:f>
              <c:numCache>
                <c:formatCode>0</c:formatCode>
                <c:ptCount val="5"/>
                <c:pt idx="0">
                  <c:v>3851.9591194968552</c:v>
                </c:pt>
                <c:pt idx="1">
                  <c:v>3725.3595890410961</c:v>
                </c:pt>
                <c:pt idx="2">
                  <c:v>3669.0740740740739</c:v>
                </c:pt>
                <c:pt idx="3">
                  <c:v>2828.7912087912086</c:v>
                </c:pt>
                <c:pt idx="4">
                  <c:v>840</c:v>
                </c:pt>
              </c:numCache>
            </c:numRef>
          </c:val>
          <c:extLst>
            <c:ext xmlns:c16="http://schemas.microsoft.com/office/drawing/2014/chart" uri="{C3380CC4-5D6E-409C-BE32-E72D297353CC}">
              <c16:uniqueId val="{00000001-B8D7-4C1C-9A5A-31C92CCFCF27}"/>
            </c:ext>
          </c:extLst>
        </c:ser>
        <c:ser>
          <c:idx val="2"/>
          <c:order val="2"/>
          <c:tx>
            <c:strRef>
              <c:f>analysis!$E$63</c:f>
              <c:strCache>
                <c:ptCount val="1"/>
                <c:pt idx="0">
                  <c:v>Средно от casual</c:v>
                </c:pt>
              </c:strCache>
            </c:strRef>
          </c:tx>
          <c:spPr>
            <a:solidFill>
              <a:schemeClr val="accent3"/>
            </a:solidFill>
            <a:ln>
              <a:noFill/>
            </a:ln>
            <a:effectLst/>
          </c:spPr>
          <c:invertIfNegative val="0"/>
          <c:cat>
            <c:strRef>
              <c:f>analysis!$B$64:$B$69</c:f>
              <c:strCache>
                <c:ptCount val="5"/>
                <c:pt idx="0">
                  <c:v>60–80%</c:v>
                </c:pt>
                <c:pt idx="1">
                  <c:v>40–60%</c:v>
                </c:pt>
                <c:pt idx="2">
                  <c:v>20–40%</c:v>
                </c:pt>
                <c:pt idx="3">
                  <c:v>80–100%</c:v>
                </c:pt>
                <c:pt idx="4">
                  <c:v>0–20%</c:v>
                </c:pt>
              </c:strCache>
            </c:strRef>
          </c:cat>
          <c:val>
            <c:numRef>
              <c:f>analysis!$E$64:$E$69</c:f>
              <c:numCache>
                <c:formatCode>0</c:formatCode>
                <c:ptCount val="5"/>
                <c:pt idx="0">
                  <c:v>907.52201257861634</c:v>
                </c:pt>
                <c:pt idx="1">
                  <c:v>863.60958904109589</c:v>
                </c:pt>
                <c:pt idx="2">
                  <c:v>914</c:v>
                </c:pt>
                <c:pt idx="3">
                  <c:v>592.63736263736268</c:v>
                </c:pt>
                <c:pt idx="4">
                  <c:v>289</c:v>
                </c:pt>
              </c:numCache>
            </c:numRef>
          </c:val>
          <c:extLst>
            <c:ext xmlns:c16="http://schemas.microsoft.com/office/drawing/2014/chart" uri="{C3380CC4-5D6E-409C-BE32-E72D297353CC}">
              <c16:uniqueId val="{00000002-B8D7-4C1C-9A5A-31C92CCFCF27}"/>
            </c:ext>
          </c:extLst>
        </c:ser>
        <c:dLbls>
          <c:showLegendKey val="0"/>
          <c:showVal val="0"/>
          <c:showCatName val="0"/>
          <c:showSerName val="0"/>
          <c:showPercent val="0"/>
          <c:showBubbleSize val="0"/>
        </c:dLbls>
        <c:gapWidth val="219"/>
        <c:overlap val="-27"/>
        <c:axId val="457824096"/>
        <c:axId val="457814584"/>
      </c:barChart>
      <c:catAx>
        <c:axId val="45782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14584"/>
        <c:crosses val="autoZero"/>
        <c:auto val="1"/>
        <c:lblAlgn val="ctr"/>
        <c:lblOffset val="100"/>
        <c:noMultiLvlLbl val="0"/>
      </c:catAx>
      <c:valAx>
        <c:axId val="457814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24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[bike_analysis.xlsx]analysis!Обобщена таблица10</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analysis!$C$74</c:f>
              <c:strCache>
                <c:ptCount val="1"/>
                <c:pt idx="0">
                  <c:v>Средно от cnt</c:v>
                </c:pt>
              </c:strCache>
            </c:strRef>
          </c:tx>
          <c:spPr>
            <a:solidFill>
              <a:schemeClr val="accent1"/>
            </a:solidFill>
            <a:ln>
              <a:noFill/>
            </a:ln>
            <a:effectLst/>
          </c:spPr>
          <c:invertIfNegative val="0"/>
          <c:cat>
            <c:strRef>
              <c:f>analysis!$B$75:$B$82</c:f>
              <c:strCache>
                <c:ptCount val="7"/>
                <c:pt idx="0">
                  <c:v>5–10 km/h</c:v>
                </c:pt>
                <c:pt idx="1">
                  <c:v>0–5 km/h</c:v>
                </c:pt>
                <c:pt idx="2">
                  <c:v>10–15 km/h</c:v>
                </c:pt>
                <c:pt idx="3">
                  <c:v>15–20 km/h</c:v>
                </c:pt>
                <c:pt idx="4">
                  <c:v>20–25 km/h</c:v>
                </c:pt>
                <c:pt idx="5">
                  <c:v>25–30 km/h</c:v>
                </c:pt>
                <c:pt idx="6">
                  <c:v>30–35 km/h</c:v>
                </c:pt>
              </c:strCache>
            </c:strRef>
          </c:cat>
          <c:val>
            <c:numRef>
              <c:f>analysis!$C$75:$C$82</c:f>
              <c:numCache>
                <c:formatCode>0</c:formatCode>
                <c:ptCount val="7"/>
                <c:pt idx="0">
                  <c:v>4953.5308056872036</c:v>
                </c:pt>
                <c:pt idx="1">
                  <c:v>4665.2903225806449</c:v>
                </c:pt>
                <c:pt idx="2">
                  <c:v>4534.3420074349442</c:v>
                </c:pt>
                <c:pt idx="3">
                  <c:v>4353.385135135135</c:v>
                </c:pt>
                <c:pt idx="4">
                  <c:v>3421.3148148148148</c:v>
                </c:pt>
                <c:pt idx="5">
                  <c:v>3162.5625</c:v>
                </c:pt>
                <c:pt idx="6">
                  <c:v>1635</c:v>
                </c:pt>
              </c:numCache>
            </c:numRef>
          </c:val>
          <c:extLst>
            <c:ext xmlns:c16="http://schemas.microsoft.com/office/drawing/2014/chart" uri="{C3380CC4-5D6E-409C-BE32-E72D297353CC}">
              <c16:uniqueId val="{00000000-0067-4607-869C-192705706EC9}"/>
            </c:ext>
          </c:extLst>
        </c:ser>
        <c:ser>
          <c:idx val="1"/>
          <c:order val="1"/>
          <c:tx>
            <c:strRef>
              <c:f>analysis!$D$74</c:f>
              <c:strCache>
                <c:ptCount val="1"/>
                <c:pt idx="0">
                  <c:v>Средно от registered</c:v>
                </c:pt>
              </c:strCache>
            </c:strRef>
          </c:tx>
          <c:spPr>
            <a:solidFill>
              <a:schemeClr val="accent2"/>
            </a:solidFill>
            <a:ln>
              <a:noFill/>
            </a:ln>
            <a:effectLst/>
          </c:spPr>
          <c:invertIfNegative val="0"/>
          <c:cat>
            <c:strRef>
              <c:f>analysis!$B$75:$B$82</c:f>
              <c:strCache>
                <c:ptCount val="7"/>
                <c:pt idx="0">
                  <c:v>5–10 km/h</c:v>
                </c:pt>
                <c:pt idx="1">
                  <c:v>0–5 km/h</c:v>
                </c:pt>
                <c:pt idx="2">
                  <c:v>10–15 km/h</c:v>
                </c:pt>
                <c:pt idx="3">
                  <c:v>15–20 km/h</c:v>
                </c:pt>
                <c:pt idx="4">
                  <c:v>20–25 km/h</c:v>
                </c:pt>
                <c:pt idx="5">
                  <c:v>25–30 km/h</c:v>
                </c:pt>
                <c:pt idx="6">
                  <c:v>30–35 km/h</c:v>
                </c:pt>
              </c:strCache>
            </c:strRef>
          </c:cat>
          <c:val>
            <c:numRef>
              <c:f>analysis!$D$75:$D$82</c:f>
              <c:numCache>
                <c:formatCode>0</c:formatCode>
                <c:ptCount val="7"/>
                <c:pt idx="0">
                  <c:v>4004.9763033175354</c:v>
                </c:pt>
                <c:pt idx="1">
                  <c:v>3825.1612903225805</c:v>
                </c:pt>
                <c:pt idx="2">
                  <c:v>3670.6914498141264</c:v>
                </c:pt>
                <c:pt idx="3">
                  <c:v>3490.4121621621621</c:v>
                </c:pt>
                <c:pt idx="4">
                  <c:v>2920.8333333333335</c:v>
                </c:pt>
                <c:pt idx="5">
                  <c:v>2777.375</c:v>
                </c:pt>
                <c:pt idx="6">
                  <c:v>1103</c:v>
                </c:pt>
              </c:numCache>
            </c:numRef>
          </c:val>
          <c:extLst>
            <c:ext xmlns:c16="http://schemas.microsoft.com/office/drawing/2014/chart" uri="{C3380CC4-5D6E-409C-BE32-E72D297353CC}">
              <c16:uniqueId val="{00000001-0067-4607-869C-192705706EC9}"/>
            </c:ext>
          </c:extLst>
        </c:ser>
        <c:ser>
          <c:idx val="2"/>
          <c:order val="2"/>
          <c:tx>
            <c:strRef>
              <c:f>analysis!$E$74</c:f>
              <c:strCache>
                <c:ptCount val="1"/>
                <c:pt idx="0">
                  <c:v>Средно от casual</c:v>
                </c:pt>
              </c:strCache>
            </c:strRef>
          </c:tx>
          <c:spPr>
            <a:solidFill>
              <a:schemeClr val="accent3"/>
            </a:solidFill>
            <a:ln>
              <a:noFill/>
            </a:ln>
            <a:effectLst/>
          </c:spPr>
          <c:invertIfNegative val="0"/>
          <c:cat>
            <c:strRef>
              <c:f>analysis!$B$75:$B$82</c:f>
              <c:strCache>
                <c:ptCount val="7"/>
                <c:pt idx="0">
                  <c:v>5–10 km/h</c:v>
                </c:pt>
                <c:pt idx="1">
                  <c:v>0–5 km/h</c:v>
                </c:pt>
                <c:pt idx="2">
                  <c:v>10–15 km/h</c:v>
                </c:pt>
                <c:pt idx="3">
                  <c:v>15–20 km/h</c:v>
                </c:pt>
                <c:pt idx="4">
                  <c:v>20–25 km/h</c:v>
                </c:pt>
                <c:pt idx="5">
                  <c:v>25–30 km/h</c:v>
                </c:pt>
                <c:pt idx="6">
                  <c:v>30–35 km/h</c:v>
                </c:pt>
              </c:strCache>
            </c:strRef>
          </c:cat>
          <c:val>
            <c:numRef>
              <c:f>analysis!$E$75:$E$82</c:f>
              <c:numCache>
                <c:formatCode>0</c:formatCode>
                <c:ptCount val="7"/>
                <c:pt idx="0">
                  <c:v>948.55450236966828</c:v>
                </c:pt>
                <c:pt idx="1">
                  <c:v>840.12903225806451</c:v>
                </c:pt>
                <c:pt idx="2">
                  <c:v>863.65055762081784</c:v>
                </c:pt>
                <c:pt idx="3">
                  <c:v>862.97297297297303</c:v>
                </c:pt>
                <c:pt idx="4">
                  <c:v>500.48148148148147</c:v>
                </c:pt>
                <c:pt idx="5">
                  <c:v>385.1875</c:v>
                </c:pt>
                <c:pt idx="6">
                  <c:v>532</c:v>
                </c:pt>
              </c:numCache>
            </c:numRef>
          </c:val>
          <c:extLst>
            <c:ext xmlns:c16="http://schemas.microsoft.com/office/drawing/2014/chart" uri="{C3380CC4-5D6E-409C-BE32-E72D297353CC}">
              <c16:uniqueId val="{00000002-0067-4607-869C-192705706EC9}"/>
            </c:ext>
          </c:extLst>
        </c:ser>
        <c:dLbls>
          <c:showLegendKey val="0"/>
          <c:showVal val="0"/>
          <c:showCatName val="0"/>
          <c:showSerName val="0"/>
          <c:showPercent val="0"/>
          <c:showBubbleSize val="0"/>
        </c:dLbls>
        <c:gapWidth val="219"/>
        <c:overlap val="-27"/>
        <c:axId val="707531976"/>
        <c:axId val="459420856"/>
      </c:barChart>
      <c:catAx>
        <c:axId val="707531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20856"/>
        <c:crosses val="autoZero"/>
        <c:auto val="1"/>
        <c:lblAlgn val="ctr"/>
        <c:lblOffset val="100"/>
        <c:noMultiLvlLbl val="0"/>
      </c:catAx>
      <c:valAx>
        <c:axId val="459420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31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49182</xdr:colOff>
      <xdr:row>0</xdr:row>
      <xdr:rowOff>175260</xdr:rowOff>
    </xdr:from>
    <xdr:to>
      <xdr:col>7</xdr:col>
      <xdr:colOff>580360</xdr:colOff>
      <xdr:row>20</xdr:row>
      <xdr:rowOff>75128</xdr:rowOff>
    </xdr:to>
    <xdr:sp macro="" textlink="">
      <xdr:nvSpPr>
        <xdr:cNvPr id="2" name="Текстово поле 1"/>
        <xdr:cNvSpPr txBox="1"/>
      </xdr:nvSpPr>
      <xdr:spPr>
        <a:xfrm>
          <a:off x="2802773" y="175260"/>
          <a:ext cx="5059882" cy="35366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2019 has achieved higher cnt sum</a:t>
          </a:r>
          <a:r>
            <a:rPr lang="bg-BG" sz="1100" baseline="0"/>
            <a:t> </a:t>
          </a:r>
          <a:r>
            <a:rPr lang="en-GB" sz="1100" b="0" baseline="0"/>
            <a:t>with </a:t>
          </a:r>
          <a:r>
            <a:rPr lang="en-US" b="0"/>
            <a:t>≈ 39.3% more.</a:t>
          </a:r>
          <a:r>
            <a:rPr lang="bg-BG" b="0"/>
            <a:t> </a:t>
          </a:r>
          <a:r>
            <a:rPr lang="en-GB" b="0"/>
            <a:t>June,September and August are top 3 seasons with  highest avg of cnt per day.</a:t>
          </a:r>
          <a:r>
            <a:rPr lang="en-GB" b="0" baseline="0"/>
            <a:t> (June and September are almost equal with June having only 5 more cnt per day). Lowest on cnt are January,February and December leading to conclusion that seasonality is crucial indicator. Summer is the season with most demand followed by Spring and lowest demand we have in Winter ( 53,8 % less than summer) </a:t>
          </a:r>
          <a:r>
            <a:rPr lang="en-GB" sz="1100" b="0" baseline="0">
              <a:solidFill>
                <a:schemeClr val="dk1"/>
              </a:solidFill>
              <a:effectLst/>
              <a:latin typeface="+mn-lt"/>
              <a:ea typeface="+mn-ea"/>
              <a:cs typeface="+mn-cs"/>
            </a:rPr>
            <a:t>suggesting that the company could take summer even more seriously investing more in marketing and client expirience also as assuring more avaliability of bikes</a:t>
          </a:r>
          <a:r>
            <a:rPr lang="en-GB" b="0" baseline="0"/>
            <a:t>. Highest demand we have on Fridays followed by Thursday and then Wednesday. The weekends are pretty weak in demand as Sunday being the lowest on demand day with around 10% less than Friday. In the begging of the working week we also dont experience high demand as Friday have 4% more demand than Tuesday and 8% more than Monday leading to conclusion that the end of the working week is the peak on demand period. Also working days perform better than not working days as they have higher avg cnt meaning overall people ussualy use bikes more during the week. But on deeper look we can see that even that work days are stronger 86,8% of the clients are registered leading to the fact that most of the customers are using the bikes on routine. </a:t>
          </a:r>
          <a:r>
            <a:rPr lang="en-US"/>
            <a:t>Although non</a:t>
          </a:r>
          <a:r>
            <a:rPr lang="en-US" baseline="0"/>
            <a:t> work days</a:t>
          </a:r>
          <a:r>
            <a:rPr lang="en-US"/>
            <a:t> show lower total demand, the share of casual users increases significantly 31,7% , indicating higher opportunity for customer acquisition. </a:t>
          </a:r>
          <a:r>
            <a:rPr lang="en-GB" sz="1100" b="0" i="0" u="none" strike="noStrike" baseline="0">
              <a:solidFill>
                <a:schemeClr val="dk1"/>
              </a:solidFill>
              <a:effectLst/>
              <a:latin typeface="+mn-lt"/>
              <a:ea typeface="+mn-ea"/>
              <a:cs typeface="+mn-cs"/>
            </a:rPr>
            <a:t>With this information we can  develop a strategy on how to gain new registered customers as it is way easier to attract new during the weekends as most non-subscribed people use our bikes. A way of doing it is presenting a registration % off plan on weekends allowing people to register with a little discount. We can also </a:t>
          </a:r>
          <a:r>
            <a:rPr lang="en-US" sz="1100" b="0" i="0" u="none" strike="noStrike" baseline="0">
              <a:solidFill>
                <a:schemeClr val="dk1"/>
              </a:solidFill>
              <a:effectLst/>
              <a:latin typeface="+mn-lt"/>
              <a:ea typeface="+mn-ea"/>
              <a:cs typeface="+mn-cs"/>
            </a:rPr>
            <a:t>i</a:t>
          </a:r>
          <a:r>
            <a:rPr lang="en-US"/>
            <a:t>ntroduce targeted promotions during low-demand weekdays Mon</a:t>
          </a:r>
          <a:r>
            <a:rPr lang="en-US" baseline="0"/>
            <a:t> and</a:t>
          </a:r>
          <a:r>
            <a:rPr lang="en-US"/>
            <a:t>Tue to increase utilization among registered users.</a:t>
          </a:r>
          <a:endParaRPr lang="en-US" sz="1100" b="0"/>
        </a:p>
      </xdr:txBody>
    </xdr:sp>
    <xdr:clientData/>
  </xdr:twoCellAnchor>
  <xdr:twoCellAnchor>
    <xdr:from>
      <xdr:col>4</xdr:col>
      <xdr:colOff>193183</xdr:colOff>
      <xdr:row>26</xdr:row>
      <xdr:rowOff>64395</xdr:rowOff>
    </xdr:from>
    <xdr:to>
      <xdr:col>8</xdr:col>
      <xdr:colOff>697605</xdr:colOff>
      <xdr:row>29</xdr:row>
      <xdr:rowOff>139522</xdr:rowOff>
    </xdr:to>
    <xdr:sp macro="" textlink="">
      <xdr:nvSpPr>
        <xdr:cNvPr id="7" name="Текстово поле 6"/>
        <xdr:cNvSpPr txBox="1"/>
      </xdr:nvSpPr>
      <xdr:spPr>
        <a:xfrm>
          <a:off x="4947634" y="4808113"/>
          <a:ext cx="2951408" cy="62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Analyzing cnt on holiday</a:t>
          </a:r>
          <a:r>
            <a:rPr lang="en-US" sz="1100" baseline="0"/>
            <a:t>s I found that a</a:t>
          </a:r>
          <a:r>
            <a:rPr lang="en-US"/>
            <a:t>lthough total demand decreases by 21.3% on holidays the share of casual users increases to 26.3% (vs 18% on non-holidays), indicating a change from routine commuting to leisure-based usage.This suggests that holidays and weekends present an opportunity for customer acquisition as non-registered users are more active during these periods.</a:t>
          </a:r>
          <a:endParaRPr lang="en-US" sz="1100"/>
        </a:p>
      </xdr:txBody>
    </xdr:sp>
    <xdr:clientData/>
  </xdr:twoCellAnchor>
  <xdr:twoCellAnchor>
    <xdr:from>
      <xdr:col>5</xdr:col>
      <xdr:colOff>335454</xdr:colOff>
      <xdr:row>31</xdr:row>
      <xdr:rowOff>178736</xdr:rowOff>
    </xdr:from>
    <xdr:to>
      <xdr:col>15</xdr:col>
      <xdr:colOff>69272</xdr:colOff>
      <xdr:row>41</xdr:row>
      <xdr:rowOff>87924</xdr:rowOff>
    </xdr:to>
    <xdr:sp macro="" textlink="">
      <xdr:nvSpPr>
        <xdr:cNvPr id="9" name="Текстово поле 8"/>
        <xdr:cNvSpPr txBox="1"/>
      </xdr:nvSpPr>
      <xdr:spPr>
        <a:xfrm>
          <a:off x="6405477" y="5815804"/>
          <a:ext cx="8063863" cy="172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In sunny weather, demand is highest for both casual and registered users, with sunny days generating 20.6% more rides than cloudy days and 171% more than rainy days. Registered users remain the dominant group in all conditions, but weather impacts casual users significantly more. During rainy days, casual users make up only 11.4% of total demand, compared to around 20–25% in better conditions. This shows that poor weather not only reduces overall usage but also limits the inflow of new customers, as casual users are far less likely to use the service.</a:t>
          </a:r>
          <a:r>
            <a:rPr lang="bg-BG"/>
            <a:t> </a:t>
          </a:r>
        </a:p>
        <a:p>
          <a:r>
            <a:rPr lang="en-US"/>
            <a:t>This makes favorable weather periods especially important for attracting new users.</a:t>
          </a:r>
          <a:endParaRPr lang="en-US" sz="1100"/>
        </a:p>
      </xdr:txBody>
    </xdr:sp>
    <xdr:clientData/>
  </xdr:twoCellAnchor>
  <xdr:twoCellAnchor>
    <xdr:from>
      <xdr:col>5</xdr:col>
      <xdr:colOff>242454</xdr:colOff>
      <xdr:row>43</xdr:row>
      <xdr:rowOff>51955</xdr:rowOff>
    </xdr:from>
    <xdr:to>
      <xdr:col>11</xdr:col>
      <xdr:colOff>1272885</xdr:colOff>
      <xdr:row>58</xdr:row>
      <xdr:rowOff>51954</xdr:rowOff>
    </xdr:to>
    <xdr:sp macro="" textlink="">
      <xdr:nvSpPr>
        <xdr:cNvPr id="10" name="Текстово поле 9"/>
        <xdr:cNvSpPr txBox="1"/>
      </xdr:nvSpPr>
      <xdr:spPr>
        <a:xfrm>
          <a:off x="5541818" y="7871114"/>
          <a:ext cx="6208567" cy="2727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Demand peaks within two temperature ranges: 25–30°C and 30–35°C, which show nearly identical total usage levels. However, there is a clear difference in user composition. The 30–35°C range attracts approximately 13</a:t>
          </a:r>
          <a:r>
            <a:rPr lang="bg-BG"/>
            <a:t>,</a:t>
          </a:r>
          <a:r>
            <a:rPr lang="en-US"/>
            <a:t>6% more casual users while the 25–30°C range has about 3</a:t>
          </a:r>
          <a:r>
            <a:rPr lang="bg-BG"/>
            <a:t>,</a:t>
          </a:r>
          <a:r>
            <a:rPr lang="en-US"/>
            <a:t>2% more registered users. The 35–40°C range ranks third, performing around 4% lower than the top two.</a:t>
          </a:r>
        </a:p>
        <a:p>
          <a:r>
            <a:rPr lang="en-US"/>
            <a:t>At the lower end</a:t>
          </a:r>
          <a:r>
            <a:rPr lang="bg-BG" baseline="0"/>
            <a:t> </a:t>
          </a:r>
          <a:r>
            <a:rPr lang="en-US"/>
            <a:t> 0–5°C and 5–10°C show the weakest performance. Although demand at 5–10°C is 66% higher than at 0–5°C, it attracts fewer casual users (around 20% less). This indicates that extremely cold temperatures significantly limit new user activity.</a:t>
          </a:r>
        </a:p>
        <a:p>
          <a:r>
            <a:rPr lang="en-US"/>
            <a:t>Importantly, demand does not increase indefinitely with temperature. The 40–45°C range performs 21</a:t>
          </a:r>
          <a:r>
            <a:rPr lang="bg-BG"/>
            <a:t>,</a:t>
          </a:r>
          <a:r>
            <a:rPr lang="en-US"/>
            <a:t>3% worse than the optimal ranges, showing a decline in usage at very high temperatures.</a:t>
          </a:r>
        </a:p>
        <a:p>
          <a:r>
            <a:rPr lang="en-US"/>
            <a:t>Overall the optimal temperature range is between 25–35°C where both total demand and casual user participation are high. This makes it the most effective range not only for maximizing usage but also for attracting new customers. As temperatures decrease, total demand declines and the user base becomes more dominated by registered users, with the exception of extreme cold (0–5°C), where casual users slightly increase their share.</a:t>
          </a:r>
          <a:r>
            <a:rPr lang="bg-BG"/>
            <a:t> </a:t>
          </a:r>
          <a:r>
            <a:rPr lang="en-US" b="1"/>
            <a:t>All temperature values refer to perceived (‘feels like’) temperature rather than actual temperature.</a:t>
          </a:r>
        </a:p>
        <a:p>
          <a:endParaRPr lang="en-US" sz="1100" b="1"/>
        </a:p>
      </xdr:txBody>
    </xdr:sp>
    <xdr:clientData/>
  </xdr:twoCellAnchor>
  <xdr:twoCellAnchor>
    <xdr:from>
      <xdr:col>5</xdr:col>
      <xdr:colOff>441613</xdr:colOff>
      <xdr:row>61</xdr:row>
      <xdr:rowOff>25978</xdr:rowOff>
    </xdr:from>
    <xdr:to>
      <xdr:col>10</xdr:col>
      <xdr:colOff>181841</xdr:colOff>
      <xdr:row>69</xdr:row>
      <xdr:rowOff>60613</xdr:rowOff>
    </xdr:to>
    <xdr:sp macro="" textlink="">
      <xdr:nvSpPr>
        <xdr:cNvPr id="11" name="Текстово поле 10"/>
        <xdr:cNvSpPr txBox="1"/>
      </xdr:nvSpPr>
      <xdr:spPr>
        <a:xfrm>
          <a:off x="6511636" y="11118273"/>
          <a:ext cx="3844637" cy="1489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Humidity doesnt show a</a:t>
          </a:r>
          <a:r>
            <a:rPr lang="en-US" baseline="0"/>
            <a:t> much of an impact </a:t>
          </a:r>
          <a:r>
            <a:rPr lang="en-US"/>
            <a:t>on demand compared to other factors. The ranges between 20–80% generate similar levels of usage with only</a:t>
          </a:r>
          <a:r>
            <a:rPr lang="en-US" baseline="0"/>
            <a:t> small</a:t>
          </a:r>
          <a:r>
            <a:rPr lang="en-US"/>
            <a:t> differences of around 3–4%. Demand drops significantly only at very low humidity levels (0–20%), where usage is approximately 77% lower than peak levels. Extremely high humidity (80–100%) also leads to a moderate decline, but not as sharply</a:t>
          </a:r>
          <a:endParaRPr lang="en-US" sz="1100"/>
        </a:p>
      </xdr:txBody>
    </xdr:sp>
    <xdr:clientData/>
  </xdr:twoCellAnchor>
  <xdr:twoCellAnchor>
    <xdr:from>
      <xdr:col>5</xdr:col>
      <xdr:colOff>441613</xdr:colOff>
      <xdr:row>72</xdr:row>
      <xdr:rowOff>138546</xdr:rowOff>
    </xdr:from>
    <xdr:to>
      <xdr:col>9</xdr:col>
      <xdr:colOff>684068</xdr:colOff>
      <xdr:row>79</xdr:row>
      <xdr:rowOff>60613</xdr:rowOff>
    </xdr:to>
    <xdr:sp macro="" textlink="">
      <xdr:nvSpPr>
        <xdr:cNvPr id="12" name="Текстово поле 11"/>
        <xdr:cNvSpPr txBox="1"/>
      </xdr:nvSpPr>
      <xdr:spPr>
        <a:xfrm>
          <a:off x="6511636" y="13231091"/>
          <a:ext cx="3437659" cy="11949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Windspeed has a minor effect on demand under normal conditions, but causes a sharp decline (65%) at extreme levels (&gt;30 km/h), affecting all users similarly.</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588818</xdr:colOff>
      <xdr:row>0</xdr:row>
      <xdr:rowOff>89647</xdr:rowOff>
    </xdr:from>
    <xdr:to>
      <xdr:col>35</xdr:col>
      <xdr:colOff>59765</xdr:colOff>
      <xdr:row>40</xdr:row>
      <xdr:rowOff>34637</xdr:rowOff>
    </xdr:to>
    <xdr:sp macro="" textlink="">
      <xdr:nvSpPr>
        <xdr:cNvPr id="6" name="Закръглен правоъгълник 5"/>
        <xdr:cNvSpPr/>
      </xdr:nvSpPr>
      <xdr:spPr>
        <a:xfrm>
          <a:off x="588818" y="89647"/>
          <a:ext cx="20911535" cy="7116755"/>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427182</xdr:colOff>
      <xdr:row>2</xdr:row>
      <xdr:rowOff>150090</xdr:rowOff>
    </xdr:from>
    <xdr:to>
      <xdr:col>8</xdr:col>
      <xdr:colOff>556952</xdr:colOff>
      <xdr:row>19</xdr:row>
      <xdr:rowOff>92364</xdr:rowOff>
    </xdr:to>
    <xdr:graphicFrame macro="">
      <xdr:nvGraphicFramePr>
        <xdr:cNvPr id="2" name="Диаграма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46183</xdr:colOff>
      <xdr:row>3</xdr:row>
      <xdr:rowOff>11546</xdr:rowOff>
    </xdr:from>
    <xdr:to>
      <xdr:col>23</xdr:col>
      <xdr:colOff>23092</xdr:colOff>
      <xdr:row>19</xdr:row>
      <xdr:rowOff>34636</xdr:rowOff>
    </xdr:to>
    <xdr:graphicFrame macro="">
      <xdr:nvGraphicFramePr>
        <xdr:cNvPr id="3" name="Диаграма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230911</xdr:colOff>
      <xdr:row>20</xdr:row>
      <xdr:rowOff>23091</xdr:rowOff>
    </xdr:from>
    <xdr:to>
      <xdr:col>8</xdr:col>
      <xdr:colOff>535710</xdr:colOff>
      <xdr:row>37</xdr:row>
      <xdr:rowOff>46182</xdr:rowOff>
    </xdr:to>
    <xdr:graphicFrame macro="">
      <xdr:nvGraphicFramePr>
        <xdr:cNvPr id="4" name="Диаграма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496453</xdr:colOff>
      <xdr:row>20</xdr:row>
      <xdr:rowOff>173185</xdr:rowOff>
    </xdr:from>
    <xdr:to>
      <xdr:col>23</xdr:col>
      <xdr:colOff>0</xdr:colOff>
      <xdr:row>38</xdr:row>
      <xdr:rowOff>23094</xdr:rowOff>
    </xdr:to>
    <xdr:graphicFrame macro="">
      <xdr:nvGraphicFramePr>
        <xdr:cNvPr id="5" name="Диаграма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600362</xdr:colOff>
      <xdr:row>2</xdr:row>
      <xdr:rowOff>173181</xdr:rowOff>
    </xdr:from>
    <xdr:to>
      <xdr:col>14</xdr:col>
      <xdr:colOff>404091</xdr:colOff>
      <xdr:row>38</xdr:row>
      <xdr:rowOff>138546</xdr:rowOff>
    </xdr:to>
    <xdr:sp macro="" textlink="">
      <xdr:nvSpPr>
        <xdr:cNvPr id="7" name="Текстово поле 6"/>
        <xdr:cNvSpPr txBox="1"/>
      </xdr:nvSpPr>
      <xdr:spPr>
        <a:xfrm>
          <a:off x="5495635" y="542636"/>
          <a:ext cx="3475183" cy="6615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mn-lt"/>
              <a:ea typeface="+mn-ea"/>
              <a:cs typeface="+mn-cs"/>
            </a:rPr>
            <a:t>June,September and August are top 3 seasons.</a:t>
          </a:r>
          <a:r>
            <a:rPr lang="en-GB" sz="1100" b="0" baseline="0">
              <a:solidFill>
                <a:schemeClr val="dk1"/>
              </a:solidFill>
              <a:effectLst/>
              <a:latin typeface="+mn-lt"/>
              <a:ea typeface="+mn-ea"/>
              <a:cs typeface="+mn-cs"/>
            </a:rPr>
            <a:t> Lowest on cnt are January,February and December leading to conclusion that seasonality is crucial indicator. Summer is the season with most demand followed by Spring and lowest demand we have in Winter ( 53,8 % less than summer) suggesting that the company could take summer even more seriously investing more in marketing and client expirience also as assuring more avaliability of bikes.</a:t>
          </a:r>
        </a:p>
        <a:p>
          <a:pPr marL="0" marR="0" indent="0" algn="ctr"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 Highest demand we have on Fridays followed by Thursday . The weekends are pretty weak in demand as Sunday being the lowest on demand day with around 10% less than Friday. In the begining of the working week we also experience less demand as Friday have 4% more demand than Tuesday and 8% more than Monday leading to conclusion that the end of the working week is the peak on demand period.</a:t>
          </a:r>
        </a:p>
        <a:p>
          <a:pPr marL="0" marR="0" indent="0" algn="ctr"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 Also working days perform better than not working days as they have higher avg cnt meaning overall people ussualy use bikes more during the week. But on deeper look we can see that even that work days are stronger 86,8% of the clients are registered leading to the fact that most of the customers are using the bikes on routine. </a:t>
          </a:r>
          <a:r>
            <a:rPr lang="en-US" sz="1100">
              <a:solidFill>
                <a:schemeClr val="dk1"/>
              </a:solidFill>
              <a:effectLst/>
              <a:latin typeface="+mn-lt"/>
              <a:ea typeface="+mn-ea"/>
              <a:cs typeface="+mn-cs"/>
            </a:rPr>
            <a:t>Although non</a:t>
          </a:r>
          <a:r>
            <a:rPr lang="en-US" sz="1100" baseline="0">
              <a:solidFill>
                <a:schemeClr val="dk1"/>
              </a:solidFill>
              <a:effectLst/>
              <a:latin typeface="+mn-lt"/>
              <a:ea typeface="+mn-ea"/>
              <a:cs typeface="+mn-cs"/>
            </a:rPr>
            <a:t> work days</a:t>
          </a:r>
          <a:r>
            <a:rPr lang="en-US" sz="1100">
              <a:solidFill>
                <a:schemeClr val="dk1"/>
              </a:solidFill>
              <a:effectLst/>
              <a:latin typeface="+mn-lt"/>
              <a:ea typeface="+mn-ea"/>
              <a:cs typeface="+mn-cs"/>
            </a:rPr>
            <a:t> show lower total demand, but the share of casual users increases 31,7% , indicating higher opportunity for customer acquisition. </a:t>
          </a:r>
          <a:r>
            <a:rPr lang="en-GB" sz="1100" b="0" i="0" baseline="0">
              <a:solidFill>
                <a:schemeClr val="dk1"/>
              </a:solidFill>
              <a:effectLst/>
              <a:latin typeface="+mn-lt"/>
              <a:ea typeface="+mn-ea"/>
              <a:cs typeface="+mn-cs"/>
            </a:rPr>
            <a:t>With this information we can  develop a strategy on how to gain new registered customers as it is way easier to attract new during the weekends.</a:t>
          </a:r>
        </a:p>
        <a:p>
          <a:pPr marL="0" marR="0" indent="0" algn="ctr"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 A way of doing it is presenting a registration % off plan on weekends allowing people to register with a little discount. We can also </a:t>
          </a:r>
          <a:r>
            <a:rPr lang="en-US" sz="1100" b="0" i="0" baseline="0">
              <a:solidFill>
                <a:schemeClr val="dk1"/>
              </a:solidFill>
              <a:effectLst/>
              <a:latin typeface="+mn-lt"/>
              <a:ea typeface="+mn-ea"/>
              <a:cs typeface="+mn-cs"/>
            </a:rPr>
            <a:t>i</a:t>
          </a:r>
          <a:r>
            <a:rPr lang="en-US" sz="1100">
              <a:solidFill>
                <a:schemeClr val="dk1"/>
              </a:solidFill>
              <a:effectLst/>
              <a:latin typeface="+mn-lt"/>
              <a:ea typeface="+mn-ea"/>
              <a:cs typeface="+mn-cs"/>
            </a:rPr>
            <a:t>ntroduce targeted promotions during low-demand weekdays Mon</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Tue to increase utilization among registered users.</a:t>
          </a:r>
          <a:endParaRPr lang="en-US" sz="1100">
            <a:effectLst/>
          </a:endParaRPr>
        </a:p>
        <a:p>
          <a:endParaRPr lang="en-US" sz="1100"/>
        </a:p>
      </xdr:txBody>
    </xdr:sp>
    <xdr:clientData/>
  </xdr:twoCellAnchor>
  <xdr:twoCellAnchor>
    <xdr:from>
      <xdr:col>26</xdr:col>
      <xdr:colOff>358588</xdr:colOff>
      <xdr:row>2</xdr:row>
      <xdr:rowOff>38709</xdr:rowOff>
    </xdr:from>
    <xdr:to>
      <xdr:col>34</xdr:col>
      <xdr:colOff>35315</xdr:colOff>
      <xdr:row>37</xdr:row>
      <xdr:rowOff>134471</xdr:rowOff>
    </xdr:to>
    <xdr:graphicFrame macro="">
      <xdr:nvGraphicFramePr>
        <xdr:cNvPr id="8" name="Диаграма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168428</xdr:colOff>
      <xdr:row>2</xdr:row>
      <xdr:rowOff>173860</xdr:rowOff>
    </xdr:from>
    <xdr:to>
      <xdr:col>26</xdr:col>
      <xdr:colOff>204438</xdr:colOff>
      <xdr:row>37</xdr:row>
      <xdr:rowOff>14942</xdr:rowOff>
    </xdr:to>
    <xdr:sp macro="" textlink="">
      <xdr:nvSpPr>
        <xdr:cNvPr id="10" name="Текстово поле 9"/>
        <xdr:cNvSpPr txBox="1"/>
      </xdr:nvSpPr>
      <xdr:spPr>
        <a:xfrm>
          <a:off x="14274721" y="545567"/>
          <a:ext cx="1875961" cy="6345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Analyzing cnt on holiday</a:t>
          </a:r>
          <a:r>
            <a:rPr lang="en-US" sz="1400" baseline="0">
              <a:solidFill>
                <a:schemeClr val="dk1"/>
              </a:solidFill>
              <a:effectLst/>
              <a:latin typeface="+mn-lt"/>
              <a:ea typeface="+mn-ea"/>
              <a:cs typeface="+mn-cs"/>
            </a:rPr>
            <a:t>s I found that a</a:t>
          </a:r>
          <a:r>
            <a:rPr lang="en-US" sz="1400">
              <a:solidFill>
                <a:schemeClr val="dk1"/>
              </a:solidFill>
              <a:effectLst/>
              <a:latin typeface="+mn-lt"/>
              <a:ea typeface="+mn-ea"/>
              <a:cs typeface="+mn-cs"/>
            </a:rPr>
            <a:t>lthough total demand decreases by 21.3% on holidays the share of casual users increases to 26.3% (vs 18% on non-holidays), indicating a change from routine commuting to leisure-based usage.This suggests that holidays and weekends present an opportunity for customer acquisition as non-registered users are more active during these periods.</a:t>
          </a:r>
          <a:endParaRPr lang="en-US" sz="1400">
            <a:effectLst/>
          </a:endParaRPr>
        </a:p>
        <a:p>
          <a:endParaRPr lang="en-US" sz="1100"/>
        </a:p>
      </xdr:txBody>
    </xdr:sp>
    <xdr:clientData/>
  </xdr:twoCellAnchor>
  <xdr:twoCellAnchor>
    <xdr:from>
      <xdr:col>1</xdr:col>
      <xdr:colOff>90054</xdr:colOff>
      <xdr:row>45</xdr:row>
      <xdr:rowOff>12700</xdr:rowOff>
    </xdr:from>
    <xdr:to>
      <xdr:col>25</xdr:col>
      <xdr:colOff>20781</xdr:colOff>
      <xdr:row>79</xdr:row>
      <xdr:rowOff>99290</xdr:rowOff>
    </xdr:to>
    <xdr:sp macro="" textlink="">
      <xdr:nvSpPr>
        <xdr:cNvPr id="11" name="Закръглен правоъгълник 10"/>
        <xdr:cNvSpPr/>
      </xdr:nvSpPr>
      <xdr:spPr>
        <a:xfrm>
          <a:off x="702642" y="8080935"/>
          <a:ext cx="14632845" cy="618259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248804</xdr:colOff>
      <xdr:row>45</xdr:row>
      <xdr:rowOff>137969</xdr:rowOff>
    </xdr:from>
    <xdr:to>
      <xdr:col>12</xdr:col>
      <xdr:colOff>156440</xdr:colOff>
      <xdr:row>59</xdr:row>
      <xdr:rowOff>80241</xdr:rowOff>
    </xdr:to>
    <xdr:graphicFrame macro="">
      <xdr:nvGraphicFramePr>
        <xdr:cNvPr id="12" name="Диаграма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242454</xdr:colOff>
      <xdr:row>59</xdr:row>
      <xdr:rowOff>115455</xdr:rowOff>
    </xdr:from>
    <xdr:to>
      <xdr:col>24</xdr:col>
      <xdr:colOff>323273</xdr:colOff>
      <xdr:row>76</xdr:row>
      <xdr:rowOff>150091</xdr:rowOff>
    </xdr:to>
    <xdr:graphicFrame macro="">
      <xdr:nvGraphicFramePr>
        <xdr:cNvPr id="13" name="Диаграма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416599</xdr:colOff>
      <xdr:row>45</xdr:row>
      <xdr:rowOff>172219</xdr:rowOff>
    </xdr:from>
    <xdr:to>
      <xdr:col>23</xdr:col>
      <xdr:colOff>312690</xdr:colOff>
      <xdr:row>56</xdr:row>
      <xdr:rowOff>50030</xdr:rowOff>
    </xdr:to>
    <xdr:sp macro="" textlink="">
      <xdr:nvSpPr>
        <xdr:cNvPr id="14" name="Текстово поле 13"/>
        <xdr:cNvSpPr txBox="1"/>
      </xdr:nvSpPr>
      <xdr:spPr>
        <a:xfrm>
          <a:off x="7782599" y="8268469"/>
          <a:ext cx="6648258" cy="1856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dk1"/>
              </a:solidFill>
              <a:effectLst/>
              <a:latin typeface="+mn-lt"/>
              <a:ea typeface="+mn-ea"/>
              <a:cs typeface="+mn-cs"/>
            </a:rPr>
            <a:t>In sunny weather, demand is highest for both casual and registered users, with sunny days generating 20.6% more rides than cloudy days and 171% more than rainy days. Registered users remain the dominant group in all conditions, but weather impacts casual users significantly more. During rainy days, casual users make up only 11.4% of total demand, compared to around 20–25% in better conditions. This shows that poor weather not only reduces overall usage but also limits the inflow of new customers, as casual users are far less likely to use the service.</a:t>
          </a:r>
          <a:r>
            <a:rPr lang="bg-BG" sz="1400">
              <a:solidFill>
                <a:schemeClr val="dk1"/>
              </a:solidFill>
              <a:effectLst/>
              <a:latin typeface="+mn-lt"/>
              <a:ea typeface="+mn-ea"/>
              <a:cs typeface="+mn-cs"/>
            </a:rPr>
            <a:t> </a:t>
          </a:r>
          <a:endParaRPr lang="en-US" sz="1400">
            <a:effectLst/>
          </a:endParaRPr>
        </a:p>
        <a:p>
          <a:pPr algn="l"/>
          <a:r>
            <a:rPr lang="en-US" sz="1400">
              <a:solidFill>
                <a:schemeClr val="dk1"/>
              </a:solidFill>
              <a:effectLst/>
              <a:latin typeface="+mn-lt"/>
              <a:ea typeface="+mn-ea"/>
              <a:cs typeface="+mn-cs"/>
            </a:rPr>
            <a:t>This makes favorable weather periods especially important for attracting new users.</a:t>
          </a:r>
          <a:endParaRPr lang="en-US" sz="1400"/>
        </a:p>
      </xdr:txBody>
    </xdr:sp>
    <xdr:clientData/>
  </xdr:twoCellAnchor>
  <xdr:twoCellAnchor>
    <xdr:from>
      <xdr:col>1</xdr:col>
      <xdr:colOff>588818</xdr:colOff>
      <xdr:row>59</xdr:row>
      <xdr:rowOff>57727</xdr:rowOff>
    </xdr:from>
    <xdr:to>
      <xdr:col>11</xdr:col>
      <xdr:colOff>323273</xdr:colOff>
      <xdr:row>77</xdr:row>
      <xdr:rowOff>126999</xdr:rowOff>
    </xdr:to>
    <xdr:sp macro="" textlink="">
      <xdr:nvSpPr>
        <xdr:cNvPr id="15" name="Текстово поле 14"/>
        <xdr:cNvSpPr txBox="1"/>
      </xdr:nvSpPr>
      <xdr:spPr>
        <a:xfrm>
          <a:off x="1200727" y="10956636"/>
          <a:ext cx="5853546" cy="3394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dk1"/>
              </a:solidFill>
              <a:effectLst/>
              <a:latin typeface="+mn-lt"/>
              <a:ea typeface="+mn-ea"/>
              <a:cs typeface="+mn-cs"/>
            </a:rPr>
            <a:t>Demand peaks within two ranges: 25–30°C and 30–35°C which show nearly identical  usage levels. However, there is a clear difference in user composition. The 30–35°C range attracts 13</a:t>
          </a:r>
          <a:r>
            <a:rPr lang="bg-BG" sz="1200">
              <a:solidFill>
                <a:schemeClr val="dk1"/>
              </a:solidFill>
              <a:effectLst/>
              <a:latin typeface="+mn-lt"/>
              <a:ea typeface="+mn-ea"/>
              <a:cs typeface="+mn-cs"/>
            </a:rPr>
            <a:t>,</a:t>
          </a:r>
          <a:r>
            <a:rPr lang="en-US" sz="1200">
              <a:solidFill>
                <a:schemeClr val="dk1"/>
              </a:solidFill>
              <a:effectLst/>
              <a:latin typeface="+mn-lt"/>
              <a:ea typeface="+mn-ea"/>
              <a:cs typeface="+mn-cs"/>
            </a:rPr>
            <a:t>6% more casual users while the 25–30°C range has about 3</a:t>
          </a:r>
          <a:r>
            <a:rPr lang="bg-BG" sz="1200">
              <a:solidFill>
                <a:schemeClr val="dk1"/>
              </a:solidFill>
              <a:effectLst/>
              <a:latin typeface="+mn-lt"/>
              <a:ea typeface="+mn-ea"/>
              <a:cs typeface="+mn-cs"/>
            </a:rPr>
            <a:t>,</a:t>
          </a:r>
          <a:r>
            <a:rPr lang="en-US" sz="1200">
              <a:solidFill>
                <a:schemeClr val="dk1"/>
              </a:solidFill>
              <a:effectLst/>
              <a:latin typeface="+mn-lt"/>
              <a:ea typeface="+mn-ea"/>
              <a:cs typeface="+mn-cs"/>
            </a:rPr>
            <a:t>2% more registered users. The 35–40°C range ranks third, performing around 4% lower than the top two.</a:t>
          </a:r>
          <a:endParaRPr lang="en-US" sz="1200">
            <a:effectLst/>
          </a:endParaRPr>
        </a:p>
        <a:p>
          <a:pPr algn="l"/>
          <a:r>
            <a:rPr lang="en-US" sz="1200">
              <a:solidFill>
                <a:schemeClr val="dk1"/>
              </a:solidFill>
              <a:effectLst/>
              <a:latin typeface="+mn-lt"/>
              <a:ea typeface="+mn-ea"/>
              <a:cs typeface="+mn-cs"/>
            </a:rPr>
            <a:t>At the lower end</a:t>
          </a:r>
          <a:r>
            <a:rPr lang="bg-BG" sz="1200" baseline="0">
              <a:solidFill>
                <a:schemeClr val="dk1"/>
              </a:solidFill>
              <a:effectLst/>
              <a:latin typeface="+mn-lt"/>
              <a:ea typeface="+mn-ea"/>
              <a:cs typeface="+mn-cs"/>
            </a:rPr>
            <a:t> </a:t>
          </a:r>
          <a:r>
            <a:rPr lang="en-US" sz="1200">
              <a:solidFill>
                <a:schemeClr val="dk1"/>
              </a:solidFill>
              <a:effectLst/>
              <a:latin typeface="+mn-lt"/>
              <a:ea typeface="+mn-ea"/>
              <a:cs typeface="+mn-cs"/>
            </a:rPr>
            <a:t> 0–5°C and 5–10°C show the weakest performance. Even</a:t>
          </a:r>
          <a:r>
            <a:rPr lang="en-US" sz="1200" baseline="0">
              <a:solidFill>
                <a:schemeClr val="dk1"/>
              </a:solidFill>
              <a:effectLst/>
              <a:latin typeface="+mn-lt"/>
              <a:ea typeface="+mn-ea"/>
              <a:cs typeface="+mn-cs"/>
            </a:rPr>
            <a:t> the</a:t>
          </a:r>
          <a:r>
            <a:rPr lang="en-US" sz="1200">
              <a:solidFill>
                <a:schemeClr val="dk1"/>
              </a:solidFill>
              <a:effectLst/>
              <a:latin typeface="+mn-lt"/>
              <a:ea typeface="+mn-ea"/>
              <a:cs typeface="+mn-cs"/>
            </a:rPr>
            <a:t> demand at 5–10°C is 66% higher than at 0–5°C it attracts fewer casual users (around 20% less). This indicates that high cold temperatures limit new user activity.</a:t>
          </a:r>
          <a:endParaRPr lang="en-US" sz="1200">
            <a:effectLst/>
          </a:endParaRPr>
        </a:p>
        <a:p>
          <a:pPr algn="l"/>
          <a:r>
            <a:rPr lang="en-US" sz="1200">
              <a:solidFill>
                <a:schemeClr val="dk1"/>
              </a:solidFill>
              <a:effectLst/>
              <a:latin typeface="+mn-lt"/>
              <a:ea typeface="+mn-ea"/>
              <a:cs typeface="+mn-cs"/>
            </a:rPr>
            <a:t>Importantly, demand does not increase indefinitely with temperature. The 40–45°C range performs 21</a:t>
          </a:r>
          <a:r>
            <a:rPr lang="bg-BG" sz="1200">
              <a:solidFill>
                <a:schemeClr val="dk1"/>
              </a:solidFill>
              <a:effectLst/>
              <a:latin typeface="+mn-lt"/>
              <a:ea typeface="+mn-ea"/>
              <a:cs typeface="+mn-cs"/>
            </a:rPr>
            <a:t>,</a:t>
          </a:r>
          <a:r>
            <a:rPr lang="en-US" sz="1200">
              <a:solidFill>
                <a:schemeClr val="dk1"/>
              </a:solidFill>
              <a:effectLst/>
              <a:latin typeface="+mn-lt"/>
              <a:ea typeface="+mn-ea"/>
              <a:cs typeface="+mn-cs"/>
            </a:rPr>
            <a:t>3% worse than the optimal ranges, showing a decline in usage at very high temperatures.</a:t>
          </a:r>
          <a:endParaRPr lang="en-US" sz="1200">
            <a:effectLst/>
          </a:endParaRPr>
        </a:p>
        <a:p>
          <a:pPr algn="l"/>
          <a:r>
            <a:rPr lang="en-US" sz="1200">
              <a:solidFill>
                <a:schemeClr val="dk1"/>
              </a:solidFill>
              <a:effectLst/>
              <a:latin typeface="+mn-lt"/>
              <a:ea typeface="+mn-ea"/>
              <a:cs typeface="+mn-cs"/>
            </a:rPr>
            <a:t>Overall the best  range is between 25–35°C where both total demand and casual user participation are high. This makes it the most effective range not only for maximizing usage but also for attracting new customers. As temperatures decrease, total demand declines and the user base becomes more dominated by registered users, with the exception of extreme cold (0–5°C), where casual users slightly increase their share.</a:t>
          </a:r>
          <a:r>
            <a:rPr lang="bg-BG" sz="1200">
              <a:solidFill>
                <a:schemeClr val="dk1"/>
              </a:solidFill>
              <a:effectLst/>
              <a:latin typeface="+mn-lt"/>
              <a:ea typeface="+mn-ea"/>
              <a:cs typeface="+mn-cs"/>
            </a:rPr>
            <a:t> </a:t>
          </a:r>
          <a:r>
            <a:rPr lang="en-US" sz="1200" b="1">
              <a:solidFill>
                <a:schemeClr val="dk1"/>
              </a:solidFill>
              <a:effectLst/>
              <a:latin typeface="+mn-lt"/>
              <a:ea typeface="+mn-ea"/>
              <a:cs typeface="+mn-cs"/>
            </a:rPr>
            <a:t>All values refer to (‘feels like’) temperature rather than actual temperature.</a:t>
          </a:r>
          <a:endParaRPr lang="en-US" sz="1200">
            <a:effectLst/>
          </a:endParaRPr>
        </a:p>
        <a:p>
          <a:endParaRPr lang="en-US" sz="1200"/>
        </a:p>
      </xdr:txBody>
    </xdr:sp>
    <xdr:clientData/>
  </xdr:twoCellAnchor>
  <xdr:twoCellAnchor>
    <xdr:from>
      <xdr:col>25</xdr:col>
      <xdr:colOff>533400</xdr:colOff>
      <xdr:row>44</xdr:row>
      <xdr:rowOff>133350</xdr:rowOff>
    </xdr:from>
    <xdr:to>
      <xdr:col>35</xdr:col>
      <xdr:colOff>552450</xdr:colOff>
      <xdr:row>79</xdr:row>
      <xdr:rowOff>0</xdr:rowOff>
    </xdr:to>
    <xdr:sp macro="" textlink="">
      <xdr:nvSpPr>
        <xdr:cNvPr id="16" name="Закръглен правоъгълник 15"/>
        <xdr:cNvSpPr/>
      </xdr:nvSpPr>
      <xdr:spPr>
        <a:xfrm>
          <a:off x="15773400" y="8515350"/>
          <a:ext cx="6115050" cy="653415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66676</xdr:colOff>
      <xdr:row>48</xdr:row>
      <xdr:rowOff>38100</xdr:rowOff>
    </xdr:from>
    <xdr:to>
      <xdr:col>32</xdr:col>
      <xdr:colOff>285750</xdr:colOff>
      <xdr:row>62</xdr:row>
      <xdr:rowOff>76200</xdr:rowOff>
    </xdr:to>
    <xdr:graphicFrame macro="">
      <xdr:nvGraphicFramePr>
        <xdr:cNvPr id="18" name="Диаграма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352425</xdr:colOff>
      <xdr:row>46</xdr:row>
      <xdr:rowOff>142875</xdr:rowOff>
    </xdr:from>
    <xdr:to>
      <xdr:col>35</xdr:col>
      <xdr:colOff>266700</xdr:colOff>
      <xdr:row>63</xdr:row>
      <xdr:rowOff>57150</xdr:rowOff>
    </xdr:to>
    <xdr:sp macro="" textlink="">
      <xdr:nvSpPr>
        <xdr:cNvPr id="19" name="Текстово поле 18"/>
        <xdr:cNvSpPr txBox="1"/>
      </xdr:nvSpPr>
      <xdr:spPr>
        <a:xfrm>
          <a:off x="19859625" y="8467725"/>
          <a:ext cx="1743075" cy="2990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Humidity doesnt show</a:t>
          </a:r>
          <a:r>
            <a:rPr lang="en-US" sz="1100" baseline="0">
              <a:solidFill>
                <a:schemeClr val="dk1"/>
              </a:solidFill>
              <a:effectLst/>
              <a:latin typeface="+mn-lt"/>
              <a:ea typeface="+mn-ea"/>
              <a:cs typeface="+mn-cs"/>
            </a:rPr>
            <a:t> much of an impact </a:t>
          </a:r>
          <a:r>
            <a:rPr lang="en-US" sz="1100">
              <a:solidFill>
                <a:schemeClr val="dk1"/>
              </a:solidFill>
              <a:effectLst/>
              <a:latin typeface="+mn-lt"/>
              <a:ea typeface="+mn-ea"/>
              <a:cs typeface="+mn-cs"/>
            </a:rPr>
            <a:t>on demand compared to other factors. The ranges between 20–80% generate similar levels of usage with</a:t>
          </a:r>
          <a:r>
            <a:rPr lang="en-US" sz="1100" baseline="0">
              <a:solidFill>
                <a:schemeClr val="dk1"/>
              </a:solidFill>
              <a:effectLst/>
              <a:latin typeface="+mn-lt"/>
              <a:ea typeface="+mn-ea"/>
              <a:cs typeface="+mn-cs"/>
            </a:rPr>
            <a:t> small</a:t>
          </a:r>
          <a:r>
            <a:rPr lang="en-US" sz="1100">
              <a:solidFill>
                <a:schemeClr val="dk1"/>
              </a:solidFill>
              <a:effectLst/>
              <a:latin typeface="+mn-lt"/>
              <a:ea typeface="+mn-ea"/>
              <a:cs typeface="+mn-cs"/>
            </a:rPr>
            <a:t> differences of around 3–4%. Demand drops only at very low humidity levels (0–20%), where usage is approximately 77% lower than peak. Extremely high humidity (80–100%) also leads to a  decline, but not as sharply.</a:t>
          </a:r>
          <a:endParaRPr lang="en-US">
            <a:effectLst/>
          </a:endParaRPr>
        </a:p>
        <a:p>
          <a:endParaRPr lang="en-US" sz="1100"/>
        </a:p>
      </xdr:txBody>
    </xdr:sp>
    <xdr:clientData/>
  </xdr:twoCellAnchor>
  <xdr:twoCellAnchor>
    <xdr:from>
      <xdr:col>28</xdr:col>
      <xdr:colOff>428625</xdr:colOff>
      <xdr:row>61</xdr:row>
      <xdr:rowOff>123825</xdr:rowOff>
    </xdr:from>
    <xdr:to>
      <xdr:col>35</xdr:col>
      <xdr:colOff>409575</xdr:colOff>
      <xdr:row>75</xdr:row>
      <xdr:rowOff>171450</xdr:rowOff>
    </xdr:to>
    <xdr:graphicFrame macro="">
      <xdr:nvGraphicFramePr>
        <xdr:cNvPr id="21" name="Диаграма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28575</xdr:colOff>
      <xdr:row>63</xdr:row>
      <xdr:rowOff>57150</xdr:rowOff>
    </xdr:from>
    <xdr:to>
      <xdr:col>28</xdr:col>
      <xdr:colOff>485775</xdr:colOff>
      <xdr:row>76</xdr:row>
      <xdr:rowOff>19050</xdr:rowOff>
    </xdr:to>
    <xdr:sp macro="" textlink="">
      <xdr:nvSpPr>
        <xdr:cNvPr id="22" name="Текстово поле 21"/>
        <xdr:cNvSpPr txBox="1"/>
      </xdr:nvSpPr>
      <xdr:spPr>
        <a:xfrm>
          <a:off x="15878175" y="11458575"/>
          <a:ext cx="1676400" cy="2314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Windspeed has a minor effect on demand under normal conditions, but causes a sharp decline (65%) at extreme levels (&gt;30 km/h), affecting all users similarly.</a:t>
          </a:r>
          <a:endParaRPr lang="en-US" sz="1100"/>
        </a:p>
      </xdr:txBody>
    </xdr:sp>
    <xdr:clientData/>
  </xdr:twoCellAnchor>
  <xdr:twoCellAnchor>
    <xdr:from>
      <xdr:col>37</xdr:col>
      <xdr:colOff>118556</xdr:colOff>
      <xdr:row>0</xdr:row>
      <xdr:rowOff>183546</xdr:rowOff>
    </xdr:from>
    <xdr:to>
      <xdr:col>44</xdr:col>
      <xdr:colOff>553831</xdr:colOff>
      <xdr:row>53</xdr:row>
      <xdr:rowOff>107973</xdr:rowOff>
    </xdr:to>
    <xdr:sp macro="" textlink="">
      <xdr:nvSpPr>
        <xdr:cNvPr id="23" name="Закръглен правоъгълник 22"/>
        <xdr:cNvSpPr/>
      </xdr:nvSpPr>
      <xdr:spPr>
        <a:xfrm>
          <a:off x="22811288" y="183546"/>
          <a:ext cx="4728494" cy="977467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381251</xdr:colOff>
      <xdr:row>2</xdr:row>
      <xdr:rowOff>49004</xdr:rowOff>
    </xdr:from>
    <xdr:to>
      <xdr:col>44</xdr:col>
      <xdr:colOff>291604</xdr:colOff>
      <xdr:row>52</xdr:row>
      <xdr:rowOff>29795</xdr:rowOff>
    </xdr:to>
    <xdr:sp macro="" textlink="">
      <xdr:nvSpPr>
        <xdr:cNvPr id="24" name="Текстово поле 23"/>
        <xdr:cNvSpPr txBox="1"/>
      </xdr:nvSpPr>
      <xdr:spPr>
        <a:xfrm>
          <a:off x="23073983" y="420711"/>
          <a:ext cx="4203572" cy="9273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Conclusion</a:t>
          </a:r>
        </a:p>
        <a:p>
          <a:r>
            <a:rPr lang="en-US" sz="1800"/>
            <a:t>We have two main customer groups: registered users, who use the service regularly and casual users, who are more sensitive to external conditions. The main drivers of demand are temperature, weather conditions</a:t>
          </a:r>
          <a:r>
            <a:rPr lang="en-US" sz="1800" baseline="0"/>
            <a:t> </a:t>
          </a:r>
          <a:r>
            <a:rPr lang="en-US" sz="1800"/>
            <a:t>and day type.</a:t>
          </a:r>
        </a:p>
        <a:p>
          <a:r>
            <a:rPr lang="en-US" sz="1800"/>
            <a:t>Peak demand occurs during summer and early fall especially toward the end of the working week, when weather conditions are favorable — sunny days with perceived temperatures between 25–35°C and no extreme wind or humidity. During these periods, both total usage and customer engagement are at their highest.</a:t>
          </a:r>
        </a:p>
        <a:p>
          <a:r>
            <a:rPr lang="en-US" sz="1800"/>
            <a:t>Casual users are significantly more active during non-working days and holidays, particularly when weather conditions are favorable</a:t>
          </a:r>
          <a:r>
            <a:rPr lang="en-US" sz="1800" baseline="0"/>
            <a:t> </a:t>
          </a:r>
          <a:r>
            <a:rPr lang="en-US" sz="1800"/>
            <a:t>indicating strong potential for customer acquisition. In contrast, registered users dominate overall demand, especially during working days, reflecting routine, commuting-based usage.</a:t>
          </a:r>
        </a:p>
        <a:p>
          <a:r>
            <a:rPr lang="en-US" sz="1800"/>
            <a:t>Demand is lowest during the beginning of the working week and throughout winter. Additionally, extreme conditions</a:t>
          </a:r>
          <a:r>
            <a:rPr lang="en-US" sz="1800" baseline="0"/>
            <a:t> </a:t>
          </a:r>
          <a:r>
            <a:rPr lang="en-US" sz="1800"/>
            <a:t>such as very high or low temperatures, strong winds, or high humidity</a:t>
          </a:r>
          <a:r>
            <a:rPr lang="en-US" sz="1800" baseline="0"/>
            <a:t> all </a:t>
          </a:r>
          <a:r>
            <a:rPr lang="en-US" sz="1800"/>
            <a:t>have a clear negative impact on usage.</a:t>
          </a:r>
        </a:p>
        <a:p>
          <a:pPr algn="ctr"/>
          <a:endParaRPr lang="en-US" sz="2800"/>
        </a:p>
      </xdr:txBody>
    </xdr:sp>
    <xdr:clientData/>
  </xdr:twoCellAnchor>
  <xdr:twoCellAnchor>
    <xdr:from>
      <xdr:col>37</xdr:col>
      <xdr:colOff>166088</xdr:colOff>
      <xdr:row>54</xdr:row>
      <xdr:rowOff>29796</xdr:rowOff>
    </xdr:from>
    <xdr:to>
      <xdr:col>45</xdr:col>
      <xdr:colOff>247214</xdr:colOff>
      <xdr:row>79</xdr:row>
      <xdr:rowOff>29796</xdr:rowOff>
    </xdr:to>
    <xdr:sp macro="" textlink="">
      <xdr:nvSpPr>
        <xdr:cNvPr id="25" name="Закръглен правоъгълник 24"/>
        <xdr:cNvSpPr/>
      </xdr:nvSpPr>
      <xdr:spPr>
        <a:xfrm>
          <a:off x="22858820" y="10065894"/>
          <a:ext cx="4987662" cy="464634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529240</xdr:colOff>
      <xdr:row>54</xdr:row>
      <xdr:rowOff>184968</xdr:rowOff>
    </xdr:from>
    <xdr:to>
      <xdr:col>44</xdr:col>
      <xdr:colOff>359906</xdr:colOff>
      <xdr:row>78</xdr:row>
      <xdr:rowOff>11210</xdr:rowOff>
    </xdr:to>
    <xdr:sp macro="" textlink="">
      <xdr:nvSpPr>
        <xdr:cNvPr id="26" name="Текстово поле 25"/>
        <xdr:cNvSpPr txBox="1"/>
      </xdr:nvSpPr>
      <xdr:spPr>
        <a:xfrm>
          <a:off x="23221972" y="10221066"/>
          <a:ext cx="4123885" cy="4286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b="0" i="0" baseline="0">
            <a:solidFill>
              <a:schemeClr val="dk1"/>
            </a:solidFill>
            <a:effectLst/>
            <a:latin typeface="+mn-lt"/>
            <a:ea typeface="+mn-ea"/>
            <a:cs typeface="+mn-cs"/>
          </a:endParaRPr>
        </a:p>
        <a:p>
          <a:pPr algn="ctr"/>
          <a:r>
            <a:rPr lang="en-GB" sz="2000" b="0" i="0" baseline="0">
              <a:solidFill>
                <a:schemeClr val="dk1"/>
              </a:solidFill>
              <a:effectLst/>
              <a:latin typeface="+mn-lt"/>
              <a:ea typeface="+mn-ea"/>
              <a:cs typeface="+mn-cs"/>
            </a:rPr>
            <a:t>Suggestions</a:t>
          </a:r>
        </a:p>
        <a:p>
          <a:endParaRPr lang="en-GB" sz="1100" b="0" i="0" baseline="0">
            <a:solidFill>
              <a:schemeClr val="dk1"/>
            </a:solidFill>
            <a:effectLst/>
            <a:latin typeface="+mn-lt"/>
            <a:ea typeface="+mn-ea"/>
            <a:cs typeface="+mn-cs"/>
          </a:endParaRPr>
        </a:p>
        <a:p>
          <a:endParaRPr lang="en-GB" sz="1100" b="0" i="0" baseline="0">
            <a:solidFill>
              <a:schemeClr val="dk1"/>
            </a:solidFill>
            <a:effectLst/>
            <a:latin typeface="+mn-lt"/>
            <a:ea typeface="+mn-ea"/>
            <a:cs typeface="+mn-cs"/>
          </a:endParaRPr>
        </a:p>
        <a:p>
          <a:endParaRPr lang="en-GB" sz="1100" b="0" i="0" baseline="0">
            <a:solidFill>
              <a:schemeClr val="dk1"/>
            </a:solidFill>
            <a:effectLst/>
            <a:latin typeface="+mn-lt"/>
            <a:ea typeface="+mn-ea"/>
            <a:cs typeface="+mn-cs"/>
          </a:endParaRPr>
        </a:p>
        <a:p>
          <a:pPr marL="171450" indent="-171450">
            <a:buFont typeface="Arial" panose="020B0604020202020204" pitchFamily="34" charset="0"/>
            <a:buChar char="•"/>
          </a:pPr>
          <a:r>
            <a:rPr lang="en-GB" sz="1100" b="0" i="0" baseline="0">
              <a:solidFill>
                <a:schemeClr val="dk1"/>
              </a:solidFill>
              <a:effectLst/>
              <a:latin typeface="+mn-lt"/>
              <a:ea typeface="+mn-ea"/>
              <a:cs typeface="+mn-cs"/>
            </a:rPr>
            <a:t>We can aqquaire new clients with more focused marketing during non work periods as also we can present a registration % off plan allowing people to register with a little discount. We can also </a:t>
          </a:r>
          <a:r>
            <a:rPr lang="en-US" sz="1100" b="0" i="0" baseline="0">
              <a:solidFill>
                <a:schemeClr val="dk1"/>
              </a:solidFill>
              <a:effectLst/>
              <a:latin typeface="+mn-lt"/>
              <a:ea typeface="+mn-ea"/>
              <a:cs typeface="+mn-cs"/>
            </a:rPr>
            <a:t>i</a:t>
          </a:r>
          <a:r>
            <a:rPr lang="en-US" sz="1100">
              <a:solidFill>
                <a:schemeClr val="dk1"/>
              </a:solidFill>
              <a:effectLst/>
              <a:latin typeface="+mn-lt"/>
              <a:ea typeface="+mn-ea"/>
              <a:cs typeface="+mn-cs"/>
            </a:rPr>
            <a:t>ntroduce targeted promotions during low-demand weekdays Mon</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Tue to increase utilization among registered users. </a:t>
          </a:r>
        </a:p>
        <a:p>
          <a:pPr marL="171450" indent="-171450">
            <a:buFont typeface="Arial" panose="020B0604020202020204" pitchFamily="34" charset="0"/>
            <a:buChar char="•"/>
          </a:pPr>
          <a:endParaRPr lang="en-US" sz="1100">
            <a:solidFill>
              <a:schemeClr val="dk1"/>
            </a:solidFill>
            <a:effectLst/>
            <a:latin typeface="+mn-lt"/>
            <a:ea typeface="+mn-ea"/>
            <a:cs typeface="+mn-cs"/>
          </a:endParaRPr>
        </a:p>
        <a:p>
          <a:pPr marL="171450" indent="-171450">
            <a:buFont typeface="Arial" panose="020B0604020202020204" pitchFamily="34" charset="0"/>
            <a:buChar char="•"/>
          </a:pPr>
          <a:r>
            <a:rPr lang="en-US" b="0">
              <a:solidFill>
                <a:sysClr val="windowText" lastClr="000000"/>
              </a:solidFill>
            </a:rPr>
            <a:t>We</a:t>
          </a:r>
          <a:r>
            <a:rPr lang="en-US" b="0" baseline="0">
              <a:solidFill>
                <a:sysClr val="windowText" lastClr="000000"/>
              </a:solidFill>
            </a:rPr>
            <a:t> should i</a:t>
          </a:r>
          <a:r>
            <a:rPr lang="en-US" b="0">
              <a:solidFill>
                <a:sysClr val="windowText" lastClr="000000"/>
              </a:solidFill>
            </a:rPr>
            <a:t>ncrease bike availability and maintenance capacity during peak periods (summer, end of work week, favorable weather conditions) .</a:t>
          </a:r>
        </a:p>
        <a:p>
          <a:pPr marL="171450" indent="-171450">
            <a:buFont typeface="Arial" panose="020B0604020202020204" pitchFamily="34" charset="0"/>
            <a:buChar char="•"/>
          </a:pPr>
          <a:endParaRPr lang="en-US" b="0">
            <a:solidFill>
              <a:sysClr val="windowText" lastClr="000000"/>
            </a:solidFill>
            <a:effectLst/>
          </a:endParaRPr>
        </a:p>
        <a:p>
          <a:pPr marL="171450" indent="-171450">
            <a:buFont typeface="Arial" panose="020B0604020202020204" pitchFamily="34" charset="0"/>
            <a:buChar char="•"/>
          </a:pPr>
          <a:r>
            <a:rPr lang="en-US"/>
            <a:t>In terms</a:t>
          </a:r>
          <a:r>
            <a:rPr lang="en-US" baseline="0"/>
            <a:t> of weather we could a</a:t>
          </a:r>
          <a:r>
            <a:rPr lang="en-US"/>
            <a:t>lign marketing campaigns with favorable weather conditions, as demand</a:t>
          </a:r>
          <a:r>
            <a:rPr lang="en-US" baseline="0"/>
            <a:t> </a:t>
          </a:r>
          <a:r>
            <a:rPr lang="en-US"/>
            <a:t>especially from casual users</a:t>
          </a:r>
          <a:r>
            <a:rPr lang="en-US" baseline="0"/>
            <a:t> </a:t>
          </a:r>
          <a:r>
            <a:rPr lang="en-US"/>
            <a:t>is highly sensitive to weather.</a:t>
          </a:r>
        </a:p>
        <a:p>
          <a:pPr marL="171450" indent="-171450">
            <a:buFont typeface="Arial" panose="020B0604020202020204" pitchFamily="34" charset="0"/>
            <a:buChar char="•"/>
          </a:pPr>
          <a:endParaRPr lang="en-US" b="0">
            <a:solidFill>
              <a:sysClr val="windowText" lastClr="000000"/>
            </a:solidFill>
            <a:effectLst/>
          </a:endParaRPr>
        </a:p>
        <a:p>
          <a:pPr marL="171450" indent="-171450">
            <a:buFont typeface="Arial" panose="020B0604020202020204" pitchFamily="34" charset="0"/>
            <a:buChar char="•"/>
          </a:pPr>
          <a:r>
            <a:rPr lang="en-US" b="0">
              <a:solidFill>
                <a:sysClr val="windowText" lastClr="000000"/>
              </a:solidFill>
              <a:effectLst/>
            </a:rPr>
            <a:t>As weather is</a:t>
          </a:r>
          <a:r>
            <a:rPr lang="en-US" b="0" baseline="0">
              <a:solidFill>
                <a:sysClr val="windowText" lastClr="000000"/>
              </a:solidFill>
              <a:effectLst/>
            </a:rPr>
            <a:t> crucial factor we must focus expanding in regions with</a:t>
          </a:r>
          <a:r>
            <a:rPr lang="en-US"/>
            <a:t> moderate and stable weather conditions, where demand is more consistent.</a:t>
          </a:r>
          <a:endParaRPr lang="en-US" b="0">
            <a:solidFill>
              <a:sysClr val="windowText" lastClr="000000"/>
            </a:solidFill>
            <a:effectLst/>
          </a:endParaRPr>
        </a:p>
        <a:p>
          <a:pPr marL="171450" indent="-171450">
            <a:buFont typeface="Arial" panose="020B0604020202020204" pitchFamily="34" charset="0"/>
            <a:buChar char="•"/>
          </a:pPr>
          <a:endParaRPr lang="en-US" b="0">
            <a:solidFill>
              <a:sysClr val="windowText" lastClr="000000"/>
            </a:solidFill>
            <a:effectLst/>
          </a:endParaRPr>
        </a:p>
        <a:p>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0.70574</cdr:x>
      <cdr:y>0.03191</cdr:y>
    </cdr:from>
    <cdr:to>
      <cdr:x>1</cdr:x>
      <cdr:y>0.30142</cdr:y>
    </cdr:to>
    <cdr:sp macro="" textlink="">
      <cdr:nvSpPr>
        <cdr:cNvPr id="2" name="Текстово поле 1"/>
        <cdr:cNvSpPr txBox="1"/>
      </cdr:nvSpPr>
      <cdr:spPr>
        <a:xfrm xmlns:a="http://schemas.openxmlformats.org/drawingml/2006/main">
          <a:off x="3536280" y="101330"/>
          <a:ext cx="1474449" cy="8556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a:solidFill>
                <a:schemeClr val="bg1">
                  <a:lumMod val="50000"/>
                </a:schemeClr>
              </a:solidFill>
            </a:rPr>
            <a:t>Work</a:t>
          </a:r>
          <a:r>
            <a:rPr lang="en-US" sz="1600" baseline="0">
              <a:solidFill>
                <a:schemeClr val="bg1">
                  <a:lumMod val="50000"/>
                </a:schemeClr>
              </a:solidFill>
            </a:rPr>
            <a:t> days VS non work days</a:t>
          </a:r>
          <a:endParaRPr lang="en-US" sz="1600">
            <a:solidFill>
              <a:schemeClr val="bg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10.646697222219" createdVersion="6" refreshedVersion="6" minRefreshableVersion="3" recordCount="730">
  <cacheSource type="worksheet">
    <worksheetSource name="Таблица1"/>
  </cacheSource>
  <cacheFields count="19">
    <cacheField name="ID" numFmtId="1">
      <sharedItems containsSemiMixedTypes="0" containsString="0" containsNumber="1" containsInteger="1" minValue="1" maxValue="730"/>
    </cacheField>
    <cacheField name="date" numFmtId="14">
      <sharedItems containsDate="1" containsMixedTypes="1" minDate="2018-01-01T00:00:00" maxDate="2019-12-13T00:00:00"/>
    </cacheField>
    <cacheField name="season" numFmtId="0">
      <sharedItems count="4">
        <s v="Winter"/>
        <s v="Spring"/>
        <s v="Summer"/>
        <s v="Fall"/>
      </sharedItems>
    </cacheField>
    <cacheField name="year" numFmtId="0">
      <sharedItems containsSemiMixedTypes="0" containsString="0" containsNumber="1" containsInteger="1" minValue="2018" maxValue="2019"/>
    </cacheField>
    <cacheField name="month" numFmtId="0">
      <sharedItems count="12">
        <s v="January"/>
        <s v="February"/>
        <s v="March"/>
        <s v="April"/>
        <s v="May"/>
        <s v="June"/>
        <s v="July"/>
        <s v="August"/>
        <s v="September"/>
        <s v="October"/>
        <s v="November"/>
        <s v="December"/>
      </sharedItems>
    </cacheField>
    <cacheField name="holiday" numFmtId="0">
      <sharedItems count="2">
        <s v="no"/>
        <s v="yes"/>
      </sharedItems>
    </cacheField>
    <cacheField name="weekday" numFmtId="0">
      <sharedItems count="7">
        <s v="Saturday"/>
        <s v="Sunday"/>
        <s v="Monday"/>
        <s v="Tuesday"/>
        <s v="Wednesday"/>
        <s v="Thursday"/>
        <s v="Friday"/>
      </sharedItems>
    </cacheField>
    <cacheField name="workingday" numFmtId="0">
      <sharedItems count="2">
        <s v="no"/>
        <s v="yes"/>
      </sharedItems>
    </cacheField>
    <cacheField name="weather " numFmtId="0">
      <sharedItems count="3">
        <s v="Mist/Cloudy"/>
        <s v="Sunny "/>
        <s v="Light rain/snow"/>
      </sharedItems>
    </cacheField>
    <cacheField name="temperature" numFmtId="1">
      <sharedItems containsSemiMixedTypes="0" containsString="0" containsNumber="1" minValue="2.4243464000000001" maxValue="35.328347000000001"/>
    </cacheField>
    <cacheField name="feel_like_temp" numFmtId="1">
      <sharedItems containsSemiMixedTypes="0" containsString="0" containsNumber="1" minValue="3.9534799999999999" maxValue="42.044800000000002"/>
    </cacheField>
    <cacheField name="feel_like_groups" numFmtId="1">
      <sharedItems count="9">
        <s v="15–20°C"/>
        <s v="5–10°C"/>
        <s v="10–15°C"/>
        <s v="0–5°C"/>
        <s v="20–25°C"/>
        <s v="25–30°C"/>
        <s v="30–35°C"/>
        <s v="35–40°C"/>
        <s v="40–45°C"/>
      </sharedItems>
    </cacheField>
    <cacheField name="humidity" numFmtId="1">
      <sharedItems containsSemiMixedTypes="0" containsString="0" containsNumber="1" minValue="0" maxValue="97.25"/>
    </cacheField>
    <cacheField name="humidity_grouped" numFmtId="1">
      <sharedItems count="5">
        <s v="80–100%"/>
        <s v="60–80%"/>
        <s v="40–60%"/>
        <s v="20–40%"/>
        <s v="0–20%"/>
      </sharedItems>
    </cacheField>
    <cacheField name="windspeed" numFmtId="1">
      <sharedItems containsSemiMixedTypes="0" containsString="0" containsNumber="1" minValue="1.5002439000000001" maxValue="34.000020999999997"/>
    </cacheField>
    <cacheField name="Колона1" numFmtId="1">
      <sharedItems count="7">
        <s v="10–15 km/h"/>
        <s v="15–20 km/h"/>
        <s v="5–10 km/h"/>
        <s v="20–25 km/h"/>
        <s v="0–5 km/h"/>
        <s v="25–30 km/h"/>
        <s v="30–35 km/h"/>
      </sharedItems>
    </cacheField>
    <cacheField name="casual" numFmtId="1">
      <sharedItems containsSemiMixedTypes="0" containsString="0" containsNumber="1" containsInteger="1" minValue="2" maxValue="3410"/>
    </cacheField>
    <cacheField name="registered" numFmtId="1">
      <sharedItems containsSemiMixedTypes="0" containsString="0" containsNumber="1" containsInteger="1" minValue="20" maxValue="6946"/>
    </cacheField>
    <cacheField name="cnt" numFmtId="1">
      <sharedItems containsSemiMixedTypes="0" containsString="0" containsNumber="1" containsInteger="1" minValue="22" maxValue="87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0">
  <r>
    <n v="1"/>
    <d v="2018-01-01T00:00:00"/>
    <x v="0"/>
    <n v="2018"/>
    <x v="0"/>
    <x v="0"/>
    <x v="0"/>
    <x v="0"/>
    <x v="0"/>
    <n v="14.110847"/>
    <n v="18.181249999999999"/>
    <x v="0"/>
    <n v="80.583299999999994"/>
    <x v="0"/>
    <n v="10.749881999999999"/>
    <x v="0"/>
    <n v="331"/>
    <n v="654"/>
    <n v="985"/>
  </r>
  <r>
    <n v="2"/>
    <d v="2018-02-01T00:00:00"/>
    <x v="0"/>
    <n v="2018"/>
    <x v="0"/>
    <x v="0"/>
    <x v="1"/>
    <x v="0"/>
    <x v="0"/>
    <n v="14.902597999999999"/>
    <n v="17.68695"/>
    <x v="0"/>
    <n v="69.608699999999999"/>
    <x v="1"/>
    <n v="16.652113"/>
    <x v="1"/>
    <n v="131"/>
    <n v="670"/>
    <n v="801"/>
  </r>
  <r>
    <n v="3"/>
    <d v="2018-03-01T00:00:00"/>
    <x v="0"/>
    <n v="2018"/>
    <x v="0"/>
    <x v="0"/>
    <x v="2"/>
    <x v="1"/>
    <x v="1"/>
    <n v="8.0509240000000002"/>
    <n v="9.4702500000000001"/>
    <x v="1"/>
    <n v="43.7273"/>
    <x v="2"/>
    <n v="16.636703000000001"/>
    <x v="1"/>
    <n v="120"/>
    <n v="1229"/>
    <n v="1349"/>
  </r>
  <r>
    <n v="4"/>
    <d v="2018-04-01T00:00:00"/>
    <x v="0"/>
    <n v="2018"/>
    <x v="0"/>
    <x v="0"/>
    <x v="3"/>
    <x v="1"/>
    <x v="1"/>
    <n v="8.1999999999999993"/>
    <n v="10.6061"/>
    <x v="2"/>
    <n v="59.043500000000002"/>
    <x v="2"/>
    <n v="10.739832"/>
    <x v="0"/>
    <n v="108"/>
    <n v="1454"/>
    <n v="1562"/>
  </r>
  <r>
    <n v="5"/>
    <d v="2018-05-01T00:00:00"/>
    <x v="0"/>
    <n v="2018"/>
    <x v="0"/>
    <x v="0"/>
    <x v="4"/>
    <x v="1"/>
    <x v="1"/>
    <n v="9.305237"/>
    <n v="11.4635"/>
    <x v="2"/>
    <n v="43.695700000000002"/>
    <x v="2"/>
    <n v="12.5223"/>
    <x v="0"/>
    <n v="82"/>
    <n v="1518"/>
    <n v="1600"/>
  </r>
  <r>
    <n v="6"/>
    <d v="2018-06-01T00:00:00"/>
    <x v="0"/>
    <n v="2018"/>
    <x v="0"/>
    <x v="0"/>
    <x v="5"/>
    <x v="1"/>
    <x v="1"/>
    <n v="8.3782680000000003"/>
    <n v="11.660450000000001"/>
    <x v="2"/>
    <n v="51.826099999999997"/>
    <x v="2"/>
    <n v="6.0008683999999999"/>
    <x v="2"/>
    <n v="88"/>
    <n v="1518"/>
    <n v="1606"/>
  </r>
  <r>
    <n v="7"/>
    <d v="2018-07-01T00:00:00"/>
    <x v="0"/>
    <n v="2018"/>
    <x v="0"/>
    <x v="0"/>
    <x v="6"/>
    <x v="1"/>
    <x v="0"/>
    <n v="8.0574019999999997"/>
    <n v="10.44195"/>
    <x v="2"/>
    <n v="49.869599999999998"/>
    <x v="2"/>
    <n v="11.304641999999999"/>
    <x v="0"/>
    <n v="148"/>
    <n v="1362"/>
    <n v="1510"/>
  </r>
  <r>
    <n v="8"/>
    <d v="2018-08-01T00:00:00"/>
    <x v="0"/>
    <n v="2018"/>
    <x v="0"/>
    <x v="0"/>
    <x v="0"/>
    <x v="0"/>
    <x v="0"/>
    <n v="6.7649999999999997"/>
    <n v="8.1127000000000002"/>
    <x v="1"/>
    <n v="53.583300000000001"/>
    <x v="2"/>
    <n v="17.875868000000001"/>
    <x v="1"/>
    <n v="68"/>
    <n v="891"/>
    <n v="959"/>
  </r>
  <r>
    <n v="9"/>
    <d v="2018-09-01T00:00:00"/>
    <x v="0"/>
    <n v="2018"/>
    <x v="0"/>
    <x v="0"/>
    <x v="1"/>
    <x v="0"/>
    <x v="1"/>
    <n v="5.6716530000000001"/>
    <n v="5.8087499999999999"/>
    <x v="1"/>
    <n v="43.416699999999999"/>
    <x v="2"/>
    <n v="24.25065"/>
    <x v="3"/>
    <n v="54"/>
    <n v="768"/>
    <n v="822"/>
  </r>
  <r>
    <n v="10"/>
    <d v="2018-10-01T00:00:00"/>
    <x v="0"/>
    <n v="2018"/>
    <x v="0"/>
    <x v="0"/>
    <x v="2"/>
    <x v="1"/>
    <x v="1"/>
    <n v="6.1841530000000002"/>
    <n v="7.5444000000000004"/>
    <x v="1"/>
    <n v="48.291699999999999"/>
    <x v="2"/>
    <n v="14.958888999999999"/>
    <x v="0"/>
    <n v="41"/>
    <n v="1280"/>
    <n v="1321"/>
  </r>
  <r>
    <n v="11"/>
    <d v="2018-11-01T00:00:00"/>
    <x v="0"/>
    <n v="2018"/>
    <x v="0"/>
    <x v="0"/>
    <x v="3"/>
    <x v="1"/>
    <x v="0"/>
    <n v="6.9327310000000004"/>
    <n v="9.5731999999999999"/>
    <x v="1"/>
    <n v="68.636399999999995"/>
    <x v="1"/>
    <n v="8.1828439999999993"/>
    <x v="2"/>
    <n v="43"/>
    <n v="1220"/>
    <n v="1263"/>
  </r>
  <r>
    <n v="12"/>
    <d v="2018-12-01T00:00:00"/>
    <x v="0"/>
    <n v="2018"/>
    <x v="0"/>
    <x v="0"/>
    <x v="4"/>
    <x v="1"/>
    <x v="1"/>
    <n v="7.0818070000000004"/>
    <n v="8.0236499999999999"/>
    <x v="1"/>
    <n v="59.954500000000003"/>
    <x v="2"/>
    <n v="20.410008999999999"/>
    <x v="3"/>
    <n v="25"/>
    <n v="1137"/>
    <n v="1162"/>
  </r>
  <r>
    <n v="13"/>
    <s v="13/01/2018"/>
    <x v="0"/>
    <n v="2018"/>
    <x v="0"/>
    <x v="0"/>
    <x v="5"/>
    <x v="1"/>
    <x v="1"/>
    <n v="6.7649999999999997"/>
    <n v="7.5441500000000001"/>
    <x v="1"/>
    <n v="47.041699999999999"/>
    <x v="2"/>
    <n v="20.167000000000002"/>
    <x v="3"/>
    <n v="38"/>
    <n v="1368"/>
    <n v="1406"/>
  </r>
  <r>
    <n v="14"/>
    <s v="14/01/2018"/>
    <x v="0"/>
    <n v="2018"/>
    <x v="0"/>
    <x v="0"/>
    <x v="6"/>
    <x v="1"/>
    <x v="1"/>
    <n v="6.5956700000000001"/>
    <n v="9.4206500000000002"/>
    <x v="1"/>
    <n v="53.782600000000002"/>
    <x v="2"/>
    <n v="8.4787160000000004"/>
    <x v="2"/>
    <n v="54"/>
    <n v="1367"/>
    <n v="1421"/>
  </r>
  <r>
    <n v="15"/>
    <s v="15/01/2018"/>
    <x v="0"/>
    <n v="2018"/>
    <x v="0"/>
    <x v="0"/>
    <x v="0"/>
    <x v="0"/>
    <x v="0"/>
    <n v="9.5666530000000005"/>
    <n v="12.4056"/>
    <x v="2"/>
    <n v="49.875"/>
    <x v="2"/>
    <n v="10.583520999999999"/>
    <x v="0"/>
    <n v="222"/>
    <n v="1026"/>
    <n v="1248"/>
  </r>
  <r>
    <n v="16"/>
    <s v="16/01/2018"/>
    <x v="0"/>
    <n v="2018"/>
    <x v="0"/>
    <x v="0"/>
    <x v="1"/>
    <x v="0"/>
    <x v="1"/>
    <n v="9.4983470000000008"/>
    <n v="11.710850000000001"/>
    <x v="2"/>
    <n v="48.375"/>
    <x v="2"/>
    <n v="12.625011000000001"/>
    <x v="0"/>
    <n v="251"/>
    <n v="953"/>
    <n v="1204"/>
  </r>
  <r>
    <n v="17"/>
    <s v="17/01/2018"/>
    <x v="0"/>
    <n v="2018"/>
    <x v="0"/>
    <x v="1"/>
    <x v="2"/>
    <x v="0"/>
    <x v="0"/>
    <n v="7.2091529999999997"/>
    <n v="8.8385499999999997"/>
    <x v="1"/>
    <n v="53.75"/>
    <x v="2"/>
    <n v="12.999139"/>
    <x v="0"/>
    <n v="117"/>
    <n v="883"/>
    <n v="1000"/>
  </r>
  <r>
    <n v="18"/>
    <s v="18/01/2018"/>
    <x v="0"/>
    <n v="2018"/>
    <x v="0"/>
    <x v="0"/>
    <x v="3"/>
    <x v="1"/>
    <x v="0"/>
    <n v="8.8833470000000005"/>
    <n v="11.61665"/>
    <x v="2"/>
    <n v="86.166700000000006"/>
    <x v="0"/>
    <n v="9.8339250000000007"/>
    <x v="2"/>
    <n v="9"/>
    <n v="674"/>
    <n v="683"/>
  </r>
  <r>
    <n v="19"/>
    <s v="19/01/2018"/>
    <x v="0"/>
    <n v="2018"/>
    <x v="0"/>
    <x v="0"/>
    <x v="4"/>
    <x v="1"/>
    <x v="0"/>
    <n v="11.979134"/>
    <n v="14.921099999999999"/>
    <x v="2"/>
    <n v="74.173900000000003"/>
    <x v="1"/>
    <n v="13.957239"/>
    <x v="0"/>
    <n v="78"/>
    <n v="1572"/>
    <n v="1650"/>
  </r>
  <r>
    <n v="20"/>
    <s v="20/01/2018"/>
    <x v="0"/>
    <n v="2018"/>
    <x v="0"/>
    <x v="0"/>
    <x v="5"/>
    <x v="1"/>
    <x v="0"/>
    <n v="10.728346999999999"/>
    <n v="12.7525"/>
    <x v="2"/>
    <n v="53.833300000000001"/>
    <x v="2"/>
    <n v="13.125567999999999"/>
    <x v="0"/>
    <n v="83"/>
    <n v="1844"/>
    <n v="1927"/>
  </r>
  <r>
    <n v="21"/>
    <s v="21/01/2018"/>
    <x v="0"/>
    <n v="2018"/>
    <x v="0"/>
    <x v="0"/>
    <x v="6"/>
    <x v="1"/>
    <x v="1"/>
    <n v="7.2774999999999999"/>
    <n v="7.8916500000000003"/>
    <x v="1"/>
    <n v="45.708300000000001"/>
    <x v="2"/>
    <n v="23.667214000000001"/>
    <x v="3"/>
    <n v="75"/>
    <n v="1468"/>
    <n v="1543"/>
  </r>
  <r>
    <n v="22"/>
    <s v="22/01/2018"/>
    <x v="0"/>
    <n v="2018"/>
    <x v="0"/>
    <x v="0"/>
    <x v="0"/>
    <x v="0"/>
    <x v="1"/>
    <n v="2.4243464000000001"/>
    <n v="3.9534799999999999"/>
    <x v="3"/>
    <n v="40"/>
    <x v="2"/>
    <n v="11.521990000000001"/>
    <x v="0"/>
    <n v="93"/>
    <n v="888"/>
    <n v="981"/>
  </r>
  <r>
    <n v="23"/>
    <s v="23/01/2018"/>
    <x v="0"/>
    <n v="2018"/>
    <x v="0"/>
    <x v="0"/>
    <x v="1"/>
    <x v="0"/>
    <x v="1"/>
    <n v="3.9573896999999998"/>
    <n v="4.9419550000000001"/>
    <x v="3"/>
    <n v="43.652200000000001"/>
    <x v="2"/>
    <n v="16.522200000000002"/>
    <x v="1"/>
    <n v="150"/>
    <n v="836"/>
    <n v="986"/>
  </r>
  <r>
    <n v="24"/>
    <s v="24/01/2018"/>
    <x v="0"/>
    <n v="2018"/>
    <x v="0"/>
    <x v="0"/>
    <x v="2"/>
    <x v="1"/>
    <x v="1"/>
    <n v="3.9930433000000001"/>
    <n v="5.8964999999999996"/>
    <x v="1"/>
    <n v="49.173900000000003"/>
    <x v="2"/>
    <n v="10.60811"/>
    <x v="0"/>
    <n v="86"/>
    <n v="1330"/>
    <n v="1416"/>
  </r>
  <r>
    <n v="25"/>
    <s v="25/01/2018"/>
    <x v="0"/>
    <n v="2018"/>
    <x v="0"/>
    <x v="0"/>
    <x v="3"/>
    <x v="1"/>
    <x v="0"/>
    <n v="9.1625979999999991"/>
    <n v="11.7263"/>
    <x v="2"/>
    <n v="61.695700000000002"/>
    <x v="1"/>
    <n v="8.696332"/>
    <x v="2"/>
    <n v="186"/>
    <n v="1799"/>
    <n v="1985"/>
  </r>
  <r>
    <n v="26"/>
    <s v="26/01/2018"/>
    <x v="0"/>
    <n v="2018"/>
    <x v="0"/>
    <x v="0"/>
    <x v="4"/>
    <x v="1"/>
    <x v="2"/>
    <n v="8.9175000000000004"/>
    <n v="10.18"/>
    <x v="2"/>
    <n v="86.25"/>
    <x v="0"/>
    <n v="19.687950000000001"/>
    <x v="1"/>
    <n v="34"/>
    <n v="472"/>
    <n v="506"/>
  </r>
  <r>
    <n v="27"/>
    <s v="27/01/2018"/>
    <x v="0"/>
    <n v="2018"/>
    <x v="0"/>
    <x v="0"/>
    <x v="5"/>
    <x v="1"/>
    <x v="1"/>
    <n v="7.9950000000000001"/>
    <n v="10.984999999999999"/>
    <x v="2"/>
    <n v="68.75"/>
    <x v="1"/>
    <n v="7.6270790000000002"/>
    <x v="2"/>
    <n v="15"/>
    <n v="416"/>
    <n v="431"/>
  </r>
  <r>
    <n v="28"/>
    <s v="28/01/2018"/>
    <x v="0"/>
    <n v="2018"/>
    <x v="0"/>
    <x v="0"/>
    <x v="6"/>
    <x v="1"/>
    <x v="0"/>
    <n v="8.3425980000000006"/>
    <n v="11.165850000000001"/>
    <x v="2"/>
    <n v="79.304299999999998"/>
    <x v="1"/>
    <n v="8.2611000000000008"/>
    <x v="2"/>
    <n v="38"/>
    <n v="1129"/>
    <n v="1167"/>
  </r>
  <r>
    <n v="29"/>
    <s v="29/01/2018"/>
    <x v="0"/>
    <n v="2018"/>
    <x v="0"/>
    <x v="0"/>
    <x v="0"/>
    <x v="0"/>
    <x v="1"/>
    <n v="8.0574019999999997"/>
    <n v="10.606299999999999"/>
    <x v="2"/>
    <n v="65.173900000000003"/>
    <x v="1"/>
    <n v="9.7394549999999995"/>
    <x v="2"/>
    <n v="123"/>
    <n v="975"/>
    <n v="1098"/>
  </r>
  <r>
    <n v="30"/>
    <s v="30/01/2018"/>
    <x v="0"/>
    <n v="2018"/>
    <x v="0"/>
    <x v="0"/>
    <x v="1"/>
    <x v="0"/>
    <x v="1"/>
    <n v="8.877402"/>
    <n v="12.5161"/>
    <x v="2"/>
    <n v="72.217399999999998"/>
    <x v="1"/>
    <n v="4.9568342000000003"/>
    <x v="4"/>
    <n v="140"/>
    <n v="956"/>
    <n v="1096"/>
  </r>
  <r>
    <n v="31"/>
    <s v="31/01/2018"/>
    <x v="0"/>
    <n v="2018"/>
    <x v="0"/>
    <x v="0"/>
    <x v="2"/>
    <x v="1"/>
    <x v="0"/>
    <n v="7.4141529999999998"/>
    <n v="9.3125"/>
    <x v="1"/>
    <n v="60.375"/>
    <x v="1"/>
    <n v="12.541864"/>
    <x v="0"/>
    <n v="42"/>
    <n v="1459"/>
    <n v="1501"/>
  </r>
  <r>
    <n v="32"/>
    <d v="2018-01-02T00:00:00"/>
    <x v="0"/>
    <n v="2018"/>
    <x v="1"/>
    <x v="0"/>
    <x v="3"/>
    <x v="1"/>
    <x v="0"/>
    <n v="7.8791339999999996"/>
    <n v="11.7265"/>
    <x v="2"/>
    <n v="82.956500000000005"/>
    <x v="0"/>
    <n v="3.5652710000000001"/>
    <x v="4"/>
    <n v="47"/>
    <n v="1313"/>
    <n v="1360"/>
  </r>
  <r>
    <n v="33"/>
    <d v="2018-02-02T00:00:00"/>
    <x v="0"/>
    <n v="2018"/>
    <x v="1"/>
    <x v="0"/>
    <x v="4"/>
    <x v="1"/>
    <x v="0"/>
    <n v="10.66"/>
    <n v="12.72085"/>
    <x v="2"/>
    <n v="77.541700000000006"/>
    <x v="1"/>
    <n v="17.708635999999998"/>
    <x v="1"/>
    <n v="72"/>
    <n v="1454"/>
    <n v="1526"/>
  </r>
  <r>
    <n v="34"/>
    <d v="2018-03-02T00:00:00"/>
    <x v="0"/>
    <n v="2018"/>
    <x v="1"/>
    <x v="0"/>
    <x v="5"/>
    <x v="1"/>
    <x v="1"/>
    <n v="7.6652370000000003"/>
    <n v="8.8939000000000004"/>
    <x v="1"/>
    <n v="43.782600000000002"/>
    <x v="2"/>
    <n v="18.609383999999999"/>
    <x v="1"/>
    <n v="61"/>
    <n v="1489"/>
    <n v="1550"/>
  </r>
  <r>
    <n v="35"/>
    <d v="2018-04-02T00:00:00"/>
    <x v="0"/>
    <n v="2018"/>
    <x v="1"/>
    <x v="0"/>
    <x v="6"/>
    <x v="1"/>
    <x v="0"/>
    <n v="8.6634639999999994"/>
    <n v="11.429349999999999"/>
    <x v="2"/>
    <n v="58.521700000000003"/>
    <x v="2"/>
    <n v="8.565213"/>
    <x v="2"/>
    <n v="88"/>
    <n v="1620"/>
    <n v="1708"/>
  </r>
  <r>
    <n v="36"/>
    <d v="2018-05-02T00:00:00"/>
    <x v="0"/>
    <n v="2018"/>
    <x v="1"/>
    <x v="0"/>
    <x v="0"/>
    <x v="0"/>
    <x v="0"/>
    <n v="9.5666530000000005"/>
    <n v="12.152900000000001"/>
    <x v="2"/>
    <n v="92.916700000000006"/>
    <x v="0"/>
    <n v="10.792293000000001"/>
    <x v="0"/>
    <n v="100"/>
    <n v="905"/>
    <n v="1005"/>
  </r>
  <r>
    <n v="37"/>
    <d v="2018-06-02T00:00:00"/>
    <x v="0"/>
    <n v="2018"/>
    <x v="1"/>
    <x v="0"/>
    <x v="1"/>
    <x v="0"/>
    <x v="1"/>
    <n v="11.719153"/>
    <n v="14.583550000000001"/>
    <x v="2"/>
    <n v="56.833300000000001"/>
    <x v="2"/>
    <n v="9.5006000000000004"/>
    <x v="2"/>
    <n v="354"/>
    <n v="1269"/>
    <n v="1623"/>
  </r>
  <r>
    <n v="38"/>
    <d v="2018-07-02T00:00:00"/>
    <x v="0"/>
    <n v="2018"/>
    <x v="1"/>
    <x v="0"/>
    <x v="2"/>
    <x v="1"/>
    <x v="1"/>
    <n v="11.138347"/>
    <n v="15.1829"/>
    <x v="0"/>
    <n v="73.833299999999994"/>
    <x v="1"/>
    <n v="3.0423561000000001"/>
    <x v="4"/>
    <n v="120"/>
    <n v="1592"/>
    <n v="1712"/>
  </r>
  <r>
    <n v="39"/>
    <d v="2018-08-02T00:00:00"/>
    <x v="0"/>
    <n v="2018"/>
    <x v="1"/>
    <x v="0"/>
    <x v="3"/>
    <x v="1"/>
    <x v="1"/>
    <n v="9.0541529999999995"/>
    <n v="9.9123000000000001"/>
    <x v="1"/>
    <n v="53.791699999999999"/>
    <x v="2"/>
    <n v="24.25065"/>
    <x v="3"/>
    <n v="64"/>
    <n v="1466"/>
    <n v="1530"/>
  </r>
  <r>
    <n v="40"/>
    <d v="2018-09-02T00:00:00"/>
    <x v="0"/>
    <n v="2018"/>
    <x v="1"/>
    <x v="0"/>
    <x v="4"/>
    <x v="1"/>
    <x v="0"/>
    <n v="5.526103"/>
    <n v="7.2141500000000001"/>
    <x v="1"/>
    <n v="49.478299999999997"/>
    <x v="2"/>
    <n v="12.652213"/>
    <x v="0"/>
    <n v="53"/>
    <n v="1552"/>
    <n v="1605"/>
  </r>
  <r>
    <n v="41"/>
    <d v="2018-10-02T00:00:00"/>
    <x v="0"/>
    <n v="2018"/>
    <x v="1"/>
    <x v="0"/>
    <x v="5"/>
    <x v="1"/>
    <x v="1"/>
    <n v="5.9182680000000003"/>
    <n v="7.4774000000000003"/>
    <x v="1"/>
    <n v="43.739100000000001"/>
    <x v="2"/>
    <n v="14.869645"/>
    <x v="0"/>
    <n v="47"/>
    <n v="1491"/>
    <n v="1538"/>
  </r>
  <r>
    <n v="42"/>
    <d v="2018-11-02T00:00:00"/>
    <x v="0"/>
    <n v="2018"/>
    <x v="1"/>
    <x v="0"/>
    <x v="6"/>
    <x v="1"/>
    <x v="1"/>
    <n v="7.7527309999999998"/>
    <n v="10.67545"/>
    <x v="2"/>
    <n v="50.636400000000002"/>
    <x v="2"/>
    <n v="7.27285"/>
    <x v="2"/>
    <n v="149"/>
    <n v="1597"/>
    <n v="1746"/>
  </r>
  <r>
    <n v="43"/>
    <d v="2018-12-02T00:00:00"/>
    <x v="0"/>
    <n v="2018"/>
    <x v="1"/>
    <x v="0"/>
    <x v="0"/>
    <x v="0"/>
    <x v="1"/>
    <n v="9.1225000000000005"/>
    <n v="11.6477"/>
    <x v="2"/>
    <n v="54.416699999999999"/>
    <x v="2"/>
    <n v="13.625589"/>
    <x v="0"/>
    <n v="288"/>
    <n v="1184"/>
    <n v="1472"/>
  </r>
  <r>
    <n v="44"/>
    <s v="13/02/2018"/>
    <x v="0"/>
    <n v="2018"/>
    <x v="1"/>
    <x v="0"/>
    <x v="1"/>
    <x v="0"/>
    <x v="1"/>
    <n v="12.977402"/>
    <n v="16.205649999999999"/>
    <x v="0"/>
    <n v="45.739100000000001"/>
    <x v="2"/>
    <n v="17.479161000000001"/>
    <x v="1"/>
    <n v="397"/>
    <n v="1192"/>
    <n v="1589"/>
  </r>
  <r>
    <n v="45"/>
    <s v="14/02/2018"/>
    <x v="0"/>
    <n v="2018"/>
    <x v="1"/>
    <x v="0"/>
    <x v="2"/>
    <x v="1"/>
    <x v="1"/>
    <n v="17.015000000000001"/>
    <n v="19.9175"/>
    <x v="0"/>
    <n v="37.583300000000001"/>
    <x v="3"/>
    <n v="27.999835999999998"/>
    <x v="5"/>
    <n v="208"/>
    <n v="1705"/>
    <n v="1913"/>
  </r>
  <r>
    <n v="46"/>
    <s v="15/02/2018"/>
    <x v="0"/>
    <n v="2018"/>
    <x v="1"/>
    <x v="0"/>
    <x v="3"/>
    <x v="1"/>
    <x v="1"/>
    <n v="10.909566999999999"/>
    <n v="12.713699999999999"/>
    <x v="2"/>
    <n v="31.434799999999999"/>
    <x v="3"/>
    <n v="19.522058000000001"/>
    <x v="1"/>
    <n v="140"/>
    <n v="1675"/>
    <n v="1815"/>
  </r>
  <r>
    <n v="47"/>
    <s v="16/02/2018"/>
    <x v="0"/>
    <n v="2018"/>
    <x v="1"/>
    <x v="0"/>
    <x v="4"/>
    <x v="1"/>
    <x v="1"/>
    <n v="13.048700999999999"/>
    <n v="15.81"/>
    <x v="0"/>
    <n v="42.347799999999999"/>
    <x v="2"/>
    <n v="16.869997000000001"/>
    <x v="1"/>
    <n v="218"/>
    <n v="1897"/>
    <n v="2115"/>
  </r>
  <r>
    <n v="48"/>
    <s v="17/02/2018"/>
    <x v="0"/>
    <n v="2018"/>
    <x v="1"/>
    <x v="0"/>
    <x v="5"/>
    <x v="1"/>
    <x v="1"/>
    <n v="17.869153000000001"/>
    <n v="21.4329"/>
    <x v="4"/>
    <n v="50.5"/>
    <x v="2"/>
    <n v="15.416968000000001"/>
    <x v="1"/>
    <n v="259"/>
    <n v="2216"/>
    <n v="2475"/>
  </r>
  <r>
    <n v="49"/>
    <s v="18/02/2018"/>
    <x v="0"/>
    <n v="2018"/>
    <x v="1"/>
    <x v="0"/>
    <x v="6"/>
    <x v="1"/>
    <x v="1"/>
    <n v="21.388347"/>
    <n v="25.599150000000002"/>
    <x v="5"/>
    <n v="51.666699999999999"/>
    <x v="2"/>
    <n v="17.749974999999999"/>
    <x v="1"/>
    <n v="579"/>
    <n v="2348"/>
    <n v="2927"/>
  </r>
  <r>
    <n v="50"/>
    <s v="19/02/2018"/>
    <x v="0"/>
    <n v="2018"/>
    <x v="1"/>
    <x v="0"/>
    <x v="0"/>
    <x v="0"/>
    <x v="1"/>
    <n v="16.365846999999999"/>
    <n v="19.5702"/>
    <x v="0"/>
    <n v="18.791699999999999"/>
    <x v="4"/>
    <n v="34.000020999999997"/>
    <x v="6"/>
    <n v="532"/>
    <n v="1103"/>
    <n v="1635"/>
  </r>
  <r>
    <n v="51"/>
    <s v="20/02/2018"/>
    <x v="0"/>
    <n v="2018"/>
    <x v="1"/>
    <x v="0"/>
    <x v="1"/>
    <x v="0"/>
    <x v="1"/>
    <n v="11.693897"/>
    <n v="13.8665"/>
    <x v="2"/>
    <n v="40.782600000000002"/>
    <x v="2"/>
    <n v="14.956745"/>
    <x v="0"/>
    <n v="639"/>
    <n v="1173"/>
    <n v="1812"/>
  </r>
  <r>
    <n v="52"/>
    <s v="21/02/2018"/>
    <x v="0"/>
    <n v="2018"/>
    <x v="1"/>
    <x v="1"/>
    <x v="2"/>
    <x v="0"/>
    <x v="0"/>
    <n v="12.436653"/>
    <n v="14.203749999999999"/>
    <x v="2"/>
    <n v="60.5"/>
    <x v="1"/>
    <n v="20.625682000000001"/>
    <x v="3"/>
    <n v="195"/>
    <n v="912"/>
    <n v="1107"/>
  </r>
  <r>
    <n v="53"/>
    <s v="22/02/2018"/>
    <x v="0"/>
    <n v="2018"/>
    <x v="1"/>
    <x v="0"/>
    <x v="3"/>
    <x v="1"/>
    <x v="1"/>
    <n v="7.4711020000000001"/>
    <n v="9.3016500000000004"/>
    <x v="1"/>
    <n v="57.777799999999999"/>
    <x v="2"/>
    <n v="13.110761"/>
    <x v="0"/>
    <n v="74"/>
    <n v="1376"/>
    <n v="1450"/>
  </r>
  <r>
    <n v="54"/>
    <s v="23/02/2018"/>
    <x v="0"/>
    <n v="2018"/>
    <x v="1"/>
    <x v="0"/>
    <x v="4"/>
    <x v="1"/>
    <x v="1"/>
    <n v="9.0912989999999994"/>
    <n v="12.28585"/>
    <x v="2"/>
    <n v="42.304299999999998"/>
    <x v="2"/>
    <n v="6.3055709999999996"/>
    <x v="2"/>
    <n v="139"/>
    <n v="1778"/>
    <n v="1917"/>
  </r>
  <r>
    <n v="55"/>
    <s v="24/02/2018"/>
    <x v="0"/>
    <n v="2018"/>
    <x v="1"/>
    <x v="0"/>
    <x v="5"/>
    <x v="1"/>
    <x v="0"/>
    <n v="12.121732"/>
    <n v="14.45955"/>
    <x v="2"/>
    <n v="69.739099999999993"/>
    <x v="1"/>
    <n v="16.783232000000002"/>
    <x v="1"/>
    <n v="100"/>
    <n v="1707"/>
    <n v="1807"/>
  </r>
  <r>
    <n v="56"/>
    <s v="25/02/2018"/>
    <x v="0"/>
    <n v="2018"/>
    <x v="1"/>
    <x v="0"/>
    <x v="6"/>
    <x v="1"/>
    <x v="0"/>
    <n v="14.938268000000001"/>
    <n v="17.523050000000001"/>
    <x v="0"/>
    <n v="71.217399999999998"/>
    <x v="1"/>
    <n v="23.218112999999999"/>
    <x v="3"/>
    <n v="120"/>
    <n v="1341"/>
    <n v="1461"/>
  </r>
  <r>
    <n v="57"/>
    <s v="26/02/2018"/>
    <x v="0"/>
    <n v="2018"/>
    <x v="1"/>
    <x v="0"/>
    <x v="0"/>
    <x v="0"/>
    <x v="1"/>
    <n v="11.5825"/>
    <n v="14.1096"/>
    <x v="2"/>
    <n v="53.791699999999999"/>
    <x v="2"/>
    <n v="12.500257"/>
    <x v="0"/>
    <n v="424"/>
    <n v="1545"/>
    <n v="1969"/>
  </r>
  <r>
    <n v="58"/>
    <s v="27/02/2018"/>
    <x v="0"/>
    <n v="2018"/>
    <x v="1"/>
    <x v="0"/>
    <x v="1"/>
    <x v="0"/>
    <x v="1"/>
    <n v="14.082598000000001"/>
    <n v="17.55545"/>
    <x v="0"/>
    <n v="68"/>
    <x v="1"/>
    <n v="8.3916160000000009"/>
    <x v="2"/>
    <n v="694"/>
    <n v="1708"/>
    <n v="2402"/>
  </r>
  <r>
    <n v="59"/>
    <s v="28/02/2018"/>
    <x v="0"/>
    <n v="2018"/>
    <x v="1"/>
    <x v="0"/>
    <x v="2"/>
    <x v="1"/>
    <x v="0"/>
    <n v="16.698193"/>
    <n v="20.0059"/>
    <x v="4"/>
    <n v="87.636399999999995"/>
    <x v="0"/>
    <n v="19.408961999999999"/>
    <x v="1"/>
    <n v="81"/>
    <n v="1365"/>
    <n v="1446"/>
  </r>
  <r>
    <n v="60"/>
    <d v="2018-01-03T00:00:00"/>
    <x v="0"/>
    <n v="2018"/>
    <x v="2"/>
    <x v="0"/>
    <x v="3"/>
    <x v="1"/>
    <x v="1"/>
    <n v="10.933346999999999"/>
    <n v="13.193949999999999"/>
    <x v="2"/>
    <n v="53.5"/>
    <x v="2"/>
    <n v="14.500475"/>
    <x v="0"/>
    <n v="137"/>
    <n v="1714"/>
    <n v="1851"/>
  </r>
  <r>
    <n v="61"/>
    <d v="2018-02-03T00:00:00"/>
    <x v="0"/>
    <n v="2018"/>
    <x v="2"/>
    <x v="0"/>
    <x v="4"/>
    <x v="1"/>
    <x v="1"/>
    <n v="13.734999999999999"/>
    <n v="16.003550000000001"/>
    <x v="0"/>
    <n v="44.958300000000001"/>
    <x v="2"/>
    <n v="20.624811000000001"/>
    <x v="3"/>
    <n v="231"/>
    <n v="1903"/>
    <n v="2134"/>
  </r>
  <r>
    <n v="62"/>
    <d v="2018-03-03T00:00:00"/>
    <x v="0"/>
    <n v="2018"/>
    <x v="2"/>
    <x v="0"/>
    <x v="5"/>
    <x v="1"/>
    <x v="1"/>
    <n v="8.131653"/>
    <n v="10.00665"/>
    <x v="2"/>
    <n v="31.833300000000001"/>
    <x v="3"/>
    <n v="15.125518"/>
    <x v="1"/>
    <n v="123"/>
    <n v="1562"/>
    <n v="1685"/>
  </r>
  <r>
    <n v="63"/>
    <d v="2018-04-03T00:00:00"/>
    <x v="0"/>
    <n v="2018"/>
    <x v="2"/>
    <x v="0"/>
    <x v="6"/>
    <x v="1"/>
    <x v="0"/>
    <n v="10.728346999999999"/>
    <n v="12.783950000000001"/>
    <x v="2"/>
    <n v="61.041699999999999"/>
    <x v="1"/>
    <n v="13.624181999999999"/>
    <x v="0"/>
    <n v="214"/>
    <n v="1730"/>
    <n v="1944"/>
  </r>
  <r>
    <n v="64"/>
    <d v="2018-05-03T00:00:00"/>
    <x v="0"/>
    <n v="2018"/>
    <x v="2"/>
    <x v="0"/>
    <x v="0"/>
    <x v="0"/>
    <x v="0"/>
    <n v="15.750847"/>
    <n v="18.938949999999998"/>
    <x v="0"/>
    <n v="78.916700000000006"/>
    <x v="1"/>
    <n v="16.875357000000001"/>
    <x v="1"/>
    <n v="640"/>
    <n v="1437"/>
    <n v="2077"/>
  </r>
  <r>
    <n v="65"/>
    <d v="2018-06-03T00:00:00"/>
    <x v="0"/>
    <n v="2018"/>
    <x v="2"/>
    <x v="0"/>
    <x v="1"/>
    <x v="0"/>
    <x v="0"/>
    <n v="15.437402000000001"/>
    <n v="18.3126"/>
    <x v="0"/>
    <n v="94.826099999999997"/>
    <x v="0"/>
    <n v="23.000229000000001"/>
    <x v="3"/>
    <n v="114"/>
    <n v="491"/>
    <n v="605"/>
  </r>
  <r>
    <n v="66"/>
    <d v="2018-07-03T00:00:00"/>
    <x v="0"/>
    <n v="2018"/>
    <x v="2"/>
    <x v="0"/>
    <x v="2"/>
    <x v="1"/>
    <x v="1"/>
    <n v="10.731299"/>
    <n v="11.92305"/>
    <x v="2"/>
    <n v="55.130400000000002"/>
    <x v="2"/>
    <n v="22.870584000000001"/>
    <x v="3"/>
    <n v="244"/>
    <n v="1628"/>
    <n v="1872"/>
  </r>
  <r>
    <n v="67"/>
    <d v="2018-08-03T00:00:00"/>
    <x v="0"/>
    <n v="2018"/>
    <x v="2"/>
    <x v="0"/>
    <x v="3"/>
    <x v="1"/>
    <x v="1"/>
    <n v="11.9925"/>
    <n v="15.12"/>
    <x v="0"/>
    <n v="42.083300000000001"/>
    <x v="2"/>
    <n v="8.0835500000000007"/>
    <x v="2"/>
    <n v="316"/>
    <n v="1817"/>
    <n v="2133"/>
  </r>
  <r>
    <n v="68"/>
    <d v="2018-09-03T00:00:00"/>
    <x v="0"/>
    <n v="2018"/>
    <x v="2"/>
    <x v="0"/>
    <x v="4"/>
    <x v="1"/>
    <x v="0"/>
    <n v="12.129153000000001"/>
    <n v="14.330399999999999"/>
    <x v="2"/>
    <n v="77.541700000000006"/>
    <x v="1"/>
    <n v="14.75005"/>
    <x v="0"/>
    <n v="191"/>
    <n v="1700"/>
    <n v="1891"/>
  </r>
  <r>
    <n v="69"/>
    <d v="2018-10-03T00:00:00"/>
    <x v="0"/>
    <n v="2018"/>
    <x v="2"/>
    <x v="0"/>
    <x v="5"/>
    <x v="1"/>
    <x v="2"/>
    <n v="15.952731"/>
    <n v="19.2834"/>
    <x v="0"/>
    <n v="0"/>
    <x v="4"/>
    <n v="17.545759"/>
    <x v="1"/>
    <n v="46"/>
    <n v="577"/>
    <n v="623"/>
  </r>
  <r>
    <n v="70"/>
    <d v="2018-11-03T00:00:00"/>
    <x v="0"/>
    <n v="2018"/>
    <x v="2"/>
    <x v="0"/>
    <x v="6"/>
    <x v="1"/>
    <x v="0"/>
    <n v="12.977402"/>
    <n v="15.25"/>
    <x v="0"/>
    <n v="64.956500000000005"/>
    <x v="1"/>
    <n v="15.60899"/>
    <x v="1"/>
    <n v="247"/>
    <n v="1730"/>
    <n v="1977"/>
  </r>
  <r>
    <n v="71"/>
    <d v="2018-12-03T00:00:00"/>
    <x v="0"/>
    <n v="2018"/>
    <x v="2"/>
    <x v="0"/>
    <x v="0"/>
    <x v="0"/>
    <x v="1"/>
    <n v="13.495846999999999"/>
    <n v="16.287500000000001"/>
    <x v="0"/>
    <n v="59.458300000000001"/>
    <x v="2"/>
    <n v="14.791925000000001"/>
    <x v="0"/>
    <n v="724"/>
    <n v="1408"/>
    <n v="2132"/>
  </r>
  <r>
    <n v="72"/>
    <s v="13/03/2018"/>
    <x v="0"/>
    <n v="2018"/>
    <x v="2"/>
    <x v="0"/>
    <x v="1"/>
    <x v="0"/>
    <x v="1"/>
    <n v="15.758267999999999"/>
    <n v="19.004549999999998"/>
    <x v="0"/>
    <n v="52.739100000000001"/>
    <x v="2"/>
    <n v="18.130468"/>
    <x v="1"/>
    <n v="982"/>
    <n v="1435"/>
    <n v="2417"/>
  </r>
  <r>
    <n v="73"/>
    <s v="14/03/2018"/>
    <x v="0"/>
    <n v="2018"/>
    <x v="2"/>
    <x v="0"/>
    <x v="2"/>
    <x v="1"/>
    <x v="1"/>
    <n v="13.333897"/>
    <n v="16.600000000000001"/>
    <x v="0"/>
    <n v="49.695700000000002"/>
    <x v="2"/>
    <n v="9.174042"/>
    <x v="2"/>
    <n v="359"/>
    <n v="1687"/>
    <n v="2046"/>
  </r>
  <r>
    <n v="74"/>
    <s v="15/03/2018"/>
    <x v="0"/>
    <n v="2018"/>
    <x v="2"/>
    <x v="0"/>
    <x v="3"/>
    <x v="1"/>
    <x v="0"/>
    <n v="13.013031"/>
    <n v="15.908899999999999"/>
    <x v="0"/>
    <n v="65.565200000000004"/>
    <x v="1"/>
    <n v="12.348703"/>
    <x v="0"/>
    <n v="289"/>
    <n v="1767"/>
    <n v="2056"/>
  </r>
  <r>
    <n v="75"/>
    <s v="16/03/2018"/>
    <x v="0"/>
    <n v="2018"/>
    <x v="2"/>
    <x v="0"/>
    <x v="4"/>
    <x v="1"/>
    <x v="0"/>
    <n v="14.973896999999999"/>
    <n v="18.346499999999999"/>
    <x v="0"/>
    <n v="77.652199999999993"/>
    <x v="1"/>
    <n v="13.608839"/>
    <x v="0"/>
    <n v="321"/>
    <n v="1871"/>
    <n v="2192"/>
  </r>
  <r>
    <n v="76"/>
    <s v="17/03/2018"/>
    <x v="0"/>
    <n v="2018"/>
    <x v="2"/>
    <x v="0"/>
    <x v="5"/>
    <x v="1"/>
    <x v="1"/>
    <n v="17.015000000000001"/>
    <n v="20.516649999999998"/>
    <x v="4"/>
    <n v="60.291699999999999"/>
    <x v="1"/>
    <n v="14.041793"/>
    <x v="0"/>
    <n v="424"/>
    <n v="2320"/>
    <n v="2744"/>
  </r>
  <r>
    <n v="77"/>
    <s v="18/03/2018"/>
    <x v="0"/>
    <n v="2018"/>
    <x v="2"/>
    <x v="0"/>
    <x v="6"/>
    <x v="1"/>
    <x v="1"/>
    <n v="22.14"/>
    <n v="26.350449999999999"/>
    <x v="5"/>
    <n v="52.521700000000003"/>
    <x v="2"/>
    <n v="15.478139000000001"/>
    <x v="1"/>
    <n v="884"/>
    <n v="2355"/>
    <n v="3239"/>
  </r>
  <r>
    <n v="78"/>
    <s v="19/03/2018"/>
    <x v="0"/>
    <n v="2018"/>
    <x v="2"/>
    <x v="0"/>
    <x v="0"/>
    <x v="0"/>
    <x v="1"/>
    <n v="19.372499999999999"/>
    <n v="23.326250000000002"/>
    <x v="4"/>
    <n v="37.916699999999999"/>
    <x v="3"/>
    <n v="24.667189"/>
    <x v="3"/>
    <n v="1424"/>
    <n v="1693"/>
    <n v="3117"/>
  </r>
  <r>
    <n v="79"/>
    <s v="20/03/2018"/>
    <x v="0"/>
    <n v="2018"/>
    <x v="2"/>
    <x v="0"/>
    <x v="1"/>
    <x v="0"/>
    <x v="1"/>
    <n v="13.6325"/>
    <n v="16.287500000000001"/>
    <x v="0"/>
    <n v="47.375"/>
    <x v="2"/>
    <n v="13.917306999999999"/>
    <x v="0"/>
    <n v="1047"/>
    <n v="1424"/>
    <n v="2471"/>
  </r>
  <r>
    <n v="80"/>
    <s v="21/03/2018"/>
    <x v="1"/>
    <n v="2018"/>
    <x v="2"/>
    <x v="0"/>
    <x v="2"/>
    <x v="1"/>
    <x v="0"/>
    <n v="17.647835000000001"/>
    <n v="20.486750000000001"/>
    <x v="4"/>
    <n v="73.739099999999993"/>
    <x v="1"/>
    <n v="19.348461"/>
    <x v="1"/>
    <n v="401"/>
    <n v="1676"/>
    <n v="2077"/>
  </r>
  <r>
    <n v="81"/>
    <s v="22/03/2018"/>
    <x v="1"/>
    <n v="2018"/>
    <x v="2"/>
    <x v="0"/>
    <x v="3"/>
    <x v="1"/>
    <x v="1"/>
    <n v="18.108346999999998"/>
    <n v="22.0321"/>
    <x v="4"/>
    <n v="62.458300000000001"/>
    <x v="1"/>
    <n v="15.125249999999999"/>
    <x v="1"/>
    <n v="460"/>
    <n v="2243"/>
    <n v="2703"/>
  </r>
  <r>
    <n v="82"/>
    <s v="23/03/2018"/>
    <x v="1"/>
    <n v="2018"/>
    <x v="2"/>
    <x v="0"/>
    <x v="4"/>
    <x v="1"/>
    <x v="0"/>
    <n v="14.225237"/>
    <n v="16.89695"/>
    <x v="0"/>
    <n v="83.956500000000005"/>
    <x v="0"/>
    <n v="15.695487"/>
    <x v="1"/>
    <n v="203"/>
    <n v="1918"/>
    <n v="2121"/>
  </r>
  <r>
    <n v="83"/>
    <s v="24/03/2018"/>
    <x v="1"/>
    <n v="2018"/>
    <x v="2"/>
    <x v="0"/>
    <x v="5"/>
    <x v="1"/>
    <x v="0"/>
    <n v="11.685"/>
    <n v="13.541650000000001"/>
    <x v="2"/>
    <n v="80.583299999999994"/>
    <x v="0"/>
    <n v="16.333729000000002"/>
    <x v="1"/>
    <n v="166"/>
    <n v="1699"/>
    <n v="1865"/>
  </r>
  <r>
    <n v="84"/>
    <s v="25/03/2018"/>
    <x v="1"/>
    <n v="2018"/>
    <x v="2"/>
    <x v="0"/>
    <x v="6"/>
    <x v="1"/>
    <x v="1"/>
    <n v="10.830847"/>
    <n v="12.8156"/>
    <x v="2"/>
    <n v="49.5"/>
    <x v="2"/>
    <n v="15.458575"/>
    <x v="1"/>
    <n v="300"/>
    <n v="1910"/>
    <n v="2210"/>
  </r>
  <r>
    <n v="85"/>
    <s v="26/03/2018"/>
    <x v="1"/>
    <n v="2018"/>
    <x v="2"/>
    <x v="0"/>
    <x v="0"/>
    <x v="0"/>
    <x v="1"/>
    <n v="10.899153"/>
    <n v="12.878550000000001"/>
    <x v="2"/>
    <n v="39.416699999999999"/>
    <x v="3"/>
    <n v="14.041257"/>
    <x v="0"/>
    <n v="981"/>
    <n v="1515"/>
    <n v="2496"/>
  </r>
  <r>
    <n v="86"/>
    <s v="27/03/2018"/>
    <x v="1"/>
    <n v="2018"/>
    <x v="2"/>
    <x v="0"/>
    <x v="1"/>
    <x v="0"/>
    <x v="0"/>
    <n v="10.374763"/>
    <n v="12.51695"/>
    <x v="2"/>
    <n v="49.391300000000001"/>
    <x v="2"/>
    <n v="12.348100000000001"/>
    <x v="0"/>
    <n v="472"/>
    <n v="1221"/>
    <n v="1693"/>
  </r>
  <r>
    <n v="87"/>
    <s v="28/03/2018"/>
    <x v="1"/>
    <n v="2018"/>
    <x v="2"/>
    <x v="0"/>
    <x v="2"/>
    <x v="1"/>
    <x v="1"/>
    <n v="10.838267999999999"/>
    <n v="12.8787"/>
    <x v="2"/>
    <n v="30.217400000000001"/>
    <x v="3"/>
    <n v="14.217668"/>
    <x v="0"/>
    <n v="222"/>
    <n v="1806"/>
    <n v="2028"/>
  </r>
  <r>
    <n v="88"/>
    <s v="29/03/2018"/>
    <x v="1"/>
    <n v="2018"/>
    <x v="2"/>
    <x v="0"/>
    <x v="3"/>
    <x v="1"/>
    <x v="1"/>
    <n v="12.4025"/>
    <n v="14.6454"/>
    <x v="2"/>
    <n v="31.416699999999999"/>
    <x v="3"/>
    <n v="15.208731999999999"/>
    <x v="1"/>
    <n v="317"/>
    <n v="2108"/>
    <n v="2425"/>
  </r>
  <r>
    <n v="89"/>
    <s v="30/03/2018"/>
    <x v="1"/>
    <n v="2018"/>
    <x v="2"/>
    <x v="0"/>
    <x v="4"/>
    <x v="1"/>
    <x v="0"/>
    <n v="12.3"/>
    <n v="14.8675"/>
    <x v="2"/>
    <n v="64.666700000000006"/>
    <x v="1"/>
    <n v="11.583496"/>
    <x v="0"/>
    <n v="168"/>
    <n v="1368"/>
    <n v="1536"/>
  </r>
  <r>
    <n v="90"/>
    <s v="31/03/2018"/>
    <x v="1"/>
    <n v="2018"/>
    <x v="2"/>
    <x v="0"/>
    <x v="5"/>
    <x v="1"/>
    <x v="2"/>
    <n v="11.001652999999999"/>
    <n v="12.87875"/>
    <x v="2"/>
    <n v="91.833299999999994"/>
    <x v="0"/>
    <n v="14.582281999999999"/>
    <x v="0"/>
    <n v="179"/>
    <n v="1506"/>
    <n v="1685"/>
  </r>
  <r>
    <n v="91"/>
    <d v="2018-01-04T00:00:00"/>
    <x v="1"/>
    <n v="2018"/>
    <x v="3"/>
    <x v="0"/>
    <x v="6"/>
    <x v="1"/>
    <x v="0"/>
    <n v="12.3"/>
    <n v="14.172700000000001"/>
    <x v="2"/>
    <n v="68.625"/>
    <x v="1"/>
    <n v="17.333435999999999"/>
    <x v="1"/>
    <n v="307"/>
    <n v="1920"/>
    <n v="2227"/>
  </r>
  <r>
    <n v="92"/>
    <d v="2018-02-04T00:00:00"/>
    <x v="1"/>
    <n v="2018"/>
    <x v="3"/>
    <x v="0"/>
    <x v="0"/>
    <x v="0"/>
    <x v="0"/>
    <n v="12.914999999999999"/>
    <n v="15.78185"/>
    <x v="0"/>
    <n v="65.375"/>
    <x v="1"/>
    <n v="13.208781999999999"/>
    <x v="0"/>
    <n v="898"/>
    <n v="1354"/>
    <n v="2252"/>
  </r>
  <r>
    <n v="93"/>
    <d v="2018-03-04T00:00:00"/>
    <x v="1"/>
    <n v="2018"/>
    <x v="3"/>
    <x v="0"/>
    <x v="1"/>
    <x v="0"/>
    <x v="1"/>
    <n v="15.511653000000001"/>
    <n v="18.93835"/>
    <x v="0"/>
    <n v="48"/>
    <x v="2"/>
    <n v="12.208271"/>
    <x v="0"/>
    <n v="1651"/>
    <n v="1598"/>
    <n v="3249"/>
  </r>
  <r>
    <n v="94"/>
    <d v="2018-04-04T00:00:00"/>
    <x v="1"/>
    <n v="2018"/>
    <x v="3"/>
    <x v="0"/>
    <x v="2"/>
    <x v="1"/>
    <x v="1"/>
    <n v="23.506653"/>
    <n v="27.146450000000002"/>
    <x v="5"/>
    <n v="42.625"/>
    <x v="2"/>
    <n v="25.833257"/>
    <x v="5"/>
    <n v="734"/>
    <n v="2381"/>
    <n v="3115"/>
  </r>
  <r>
    <n v="95"/>
    <d v="2018-05-04T00:00:00"/>
    <x v="1"/>
    <n v="2018"/>
    <x v="3"/>
    <x v="0"/>
    <x v="3"/>
    <x v="1"/>
    <x v="0"/>
    <n v="16.980847000000001"/>
    <n v="19.9175"/>
    <x v="0"/>
    <n v="64.208299999999994"/>
    <x v="1"/>
    <n v="26.000489000000002"/>
    <x v="5"/>
    <n v="167"/>
    <n v="1628"/>
    <n v="1795"/>
  </r>
  <r>
    <n v="96"/>
    <d v="2018-06-04T00:00:00"/>
    <x v="1"/>
    <n v="2018"/>
    <x v="3"/>
    <x v="0"/>
    <x v="4"/>
    <x v="1"/>
    <x v="1"/>
    <n v="16.024152999999998"/>
    <n v="19.380400000000002"/>
    <x v="0"/>
    <n v="47.083300000000001"/>
    <x v="2"/>
    <n v="17.625221"/>
    <x v="1"/>
    <n v="413"/>
    <n v="2395"/>
    <n v="2808"/>
  </r>
  <r>
    <n v="97"/>
    <d v="2018-07-04T00:00:00"/>
    <x v="1"/>
    <n v="2018"/>
    <x v="3"/>
    <x v="0"/>
    <x v="5"/>
    <x v="1"/>
    <x v="1"/>
    <n v="17.9375"/>
    <n v="21.684799999999999"/>
    <x v="4"/>
    <n v="60.291699999999999"/>
    <x v="1"/>
    <n v="10.874904000000001"/>
    <x v="0"/>
    <n v="571"/>
    <n v="2570"/>
    <n v="3141"/>
  </r>
  <r>
    <n v="98"/>
    <d v="2018-08-04T00:00:00"/>
    <x v="1"/>
    <n v="2018"/>
    <x v="3"/>
    <x v="0"/>
    <x v="6"/>
    <x v="1"/>
    <x v="0"/>
    <n v="13.769152999999999"/>
    <n v="16.223949999999999"/>
    <x v="0"/>
    <n v="83.625"/>
    <x v="0"/>
    <n v="15.208463999999999"/>
    <x v="1"/>
    <n v="172"/>
    <n v="1299"/>
    <n v="1471"/>
  </r>
  <r>
    <n v="99"/>
    <d v="2018-09-04T00:00:00"/>
    <x v="1"/>
    <n v="2018"/>
    <x v="3"/>
    <x v="0"/>
    <x v="0"/>
    <x v="0"/>
    <x v="0"/>
    <n v="14.0425"/>
    <n v="17.076450000000001"/>
    <x v="0"/>
    <n v="87.75"/>
    <x v="0"/>
    <n v="8.9165609999999997"/>
    <x v="2"/>
    <n v="879"/>
    <n v="1576"/>
    <n v="2455"/>
  </r>
  <r>
    <n v="100"/>
    <d v="2018-10-04T00:00:00"/>
    <x v="1"/>
    <n v="2018"/>
    <x v="3"/>
    <x v="0"/>
    <x v="1"/>
    <x v="0"/>
    <x v="0"/>
    <n v="17.493347"/>
    <n v="21.336849999999998"/>
    <x v="4"/>
    <n v="85.75"/>
    <x v="0"/>
    <n v="9.8333890000000004"/>
    <x v="2"/>
    <n v="1188"/>
    <n v="1707"/>
    <n v="2895"/>
  </r>
  <r>
    <n v="101"/>
    <d v="2018-11-04T00:00:00"/>
    <x v="1"/>
    <n v="2018"/>
    <x v="3"/>
    <x v="0"/>
    <x v="2"/>
    <x v="1"/>
    <x v="0"/>
    <n v="24.421731999999999"/>
    <n v="28.260850000000001"/>
    <x v="5"/>
    <n v="71.695599999999999"/>
    <x v="1"/>
    <n v="21.739757999999998"/>
    <x v="3"/>
    <n v="855"/>
    <n v="2493"/>
    <n v="3348"/>
  </r>
  <r>
    <n v="102"/>
    <d v="2018-12-04T00:00:00"/>
    <x v="1"/>
    <n v="2018"/>
    <x v="3"/>
    <x v="0"/>
    <x v="3"/>
    <x v="1"/>
    <x v="0"/>
    <n v="20.602499999999999"/>
    <n v="24.652699999999999"/>
    <x v="4"/>
    <n v="73.916700000000006"/>
    <x v="1"/>
    <n v="18.416893000000002"/>
    <x v="1"/>
    <n v="257"/>
    <n v="1777"/>
    <n v="2034"/>
  </r>
  <r>
    <n v="103"/>
    <s v="13/04/2018"/>
    <x v="1"/>
    <n v="2018"/>
    <x v="3"/>
    <x v="0"/>
    <x v="4"/>
    <x v="1"/>
    <x v="0"/>
    <n v="16.912500000000001"/>
    <n v="20.864149999999999"/>
    <x v="4"/>
    <n v="81.916700000000006"/>
    <x v="0"/>
    <n v="16.791339000000001"/>
    <x v="1"/>
    <n v="209"/>
    <n v="1953"/>
    <n v="2162"/>
  </r>
  <r>
    <n v="104"/>
    <s v="14/04/2018"/>
    <x v="1"/>
    <n v="2018"/>
    <x v="3"/>
    <x v="0"/>
    <x v="5"/>
    <x v="1"/>
    <x v="1"/>
    <n v="19.1675"/>
    <n v="23.1371"/>
    <x v="4"/>
    <n v="54.041699999999999"/>
    <x v="2"/>
    <n v="7.4169"/>
    <x v="2"/>
    <n v="529"/>
    <n v="2738"/>
    <n v="3267"/>
  </r>
  <r>
    <n v="105"/>
    <s v="15/04/2018"/>
    <x v="1"/>
    <n v="2018"/>
    <x v="3"/>
    <x v="1"/>
    <x v="6"/>
    <x v="0"/>
    <x v="1"/>
    <n v="18.313347"/>
    <n v="22.095649999999999"/>
    <x v="4"/>
    <n v="67.125"/>
    <x v="1"/>
    <n v="15.167125"/>
    <x v="1"/>
    <n v="642"/>
    <n v="2484"/>
    <n v="3126"/>
  </r>
  <r>
    <n v="106"/>
    <s v="16/04/2018"/>
    <x v="1"/>
    <n v="2018"/>
    <x v="3"/>
    <x v="0"/>
    <x v="0"/>
    <x v="0"/>
    <x v="2"/>
    <n v="17.664152999999999"/>
    <n v="21.2746"/>
    <x v="4"/>
    <n v="88.833299999999994"/>
    <x v="0"/>
    <n v="22.834136000000001"/>
    <x v="3"/>
    <n v="121"/>
    <n v="674"/>
    <n v="795"/>
  </r>
  <r>
    <n v="107"/>
    <s v="17/04/2018"/>
    <x v="1"/>
    <n v="2018"/>
    <x v="3"/>
    <x v="0"/>
    <x v="1"/>
    <x v="0"/>
    <x v="1"/>
    <n v="18.723347"/>
    <n v="22.284800000000001"/>
    <x v="4"/>
    <n v="47.958300000000001"/>
    <x v="2"/>
    <n v="20.334232"/>
    <x v="3"/>
    <n v="1558"/>
    <n v="2186"/>
    <n v="3744"/>
  </r>
  <r>
    <n v="108"/>
    <s v="18/04/2018"/>
    <x v="1"/>
    <n v="2018"/>
    <x v="3"/>
    <x v="0"/>
    <x v="2"/>
    <x v="1"/>
    <x v="1"/>
    <n v="21.012499999999999"/>
    <n v="25.157299999999999"/>
    <x v="5"/>
    <n v="54.25"/>
    <x v="2"/>
    <n v="10.958989000000001"/>
    <x v="0"/>
    <n v="669"/>
    <n v="2760"/>
    <n v="3429"/>
  </r>
  <r>
    <n v="109"/>
    <s v="19/04/2018"/>
    <x v="1"/>
    <n v="2018"/>
    <x v="3"/>
    <x v="0"/>
    <x v="3"/>
    <x v="1"/>
    <x v="0"/>
    <n v="20.739153000000002"/>
    <n v="24.462900000000001"/>
    <x v="4"/>
    <n v="66.583299999999994"/>
    <x v="1"/>
    <n v="10.584057"/>
    <x v="0"/>
    <n v="409"/>
    <n v="2795"/>
    <n v="3204"/>
  </r>
  <r>
    <n v="110"/>
    <s v="20/04/2018"/>
    <x v="1"/>
    <n v="2018"/>
    <x v="3"/>
    <x v="0"/>
    <x v="4"/>
    <x v="1"/>
    <x v="1"/>
    <n v="24.395"/>
    <n v="28.2196"/>
    <x v="5"/>
    <n v="61.416699999999999"/>
    <x v="1"/>
    <n v="16.208974999999999"/>
    <x v="1"/>
    <n v="613"/>
    <n v="3331"/>
    <n v="3944"/>
  </r>
  <r>
    <n v="111"/>
    <s v="21/04/2018"/>
    <x v="1"/>
    <n v="2018"/>
    <x v="3"/>
    <x v="0"/>
    <x v="5"/>
    <x v="1"/>
    <x v="1"/>
    <n v="18.825847"/>
    <n v="22.694600000000001"/>
    <x v="4"/>
    <n v="40.708300000000001"/>
    <x v="2"/>
    <n v="21.792286000000001"/>
    <x v="3"/>
    <n v="745"/>
    <n v="3444"/>
    <n v="4189"/>
  </r>
  <r>
    <n v="112"/>
    <s v="22/04/2018"/>
    <x v="1"/>
    <n v="2018"/>
    <x v="3"/>
    <x v="0"/>
    <x v="6"/>
    <x v="1"/>
    <x v="0"/>
    <n v="13.803347"/>
    <n v="16.0977"/>
    <x v="0"/>
    <n v="72.958299999999994"/>
    <x v="1"/>
    <n v="14.707907000000001"/>
    <x v="0"/>
    <n v="177"/>
    <n v="1506"/>
    <n v="1683"/>
  </r>
  <r>
    <n v="113"/>
    <s v="23/04/2018"/>
    <x v="1"/>
    <n v="2018"/>
    <x v="3"/>
    <x v="0"/>
    <x v="0"/>
    <x v="0"/>
    <x v="0"/>
    <n v="18.86"/>
    <n v="22.506049999999998"/>
    <x v="4"/>
    <n v="88.791700000000006"/>
    <x v="0"/>
    <n v="15.458575"/>
    <x v="1"/>
    <n v="1462"/>
    <n v="2574"/>
    <n v="4036"/>
  </r>
  <r>
    <n v="114"/>
    <s v="24/04/2018"/>
    <x v="1"/>
    <n v="2018"/>
    <x v="3"/>
    <x v="0"/>
    <x v="1"/>
    <x v="0"/>
    <x v="0"/>
    <n v="23.848347"/>
    <n v="27.588149999999999"/>
    <x v="5"/>
    <n v="81.083299999999994"/>
    <x v="0"/>
    <n v="12.875724999999999"/>
    <x v="0"/>
    <n v="1710"/>
    <n v="2481"/>
    <n v="4191"/>
  </r>
  <r>
    <n v="115"/>
    <s v="25/04/2018"/>
    <x v="1"/>
    <n v="2018"/>
    <x v="3"/>
    <x v="0"/>
    <x v="2"/>
    <x v="1"/>
    <x v="1"/>
    <n v="24.873346999999999"/>
    <n v="28.725000000000001"/>
    <x v="5"/>
    <n v="77.666700000000006"/>
    <x v="1"/>
    <n v="12.417311"/>
    <x v="0"/>
    <n v="773"/>
    <n v="3300"/>
    <n v="4073"/>
  </r>
  <r>
    <n v="116"/>
    <s v="26/04/2018"/>
    <x v="1"/>
    <n v="2018"/>
    <x v="3"/>
    <x v="0"/>
    <x v="3"/>
    <x v="1"/>
    <x v="1"/>
    <n v="25.898347000000001"/>
    <n v="29.704149999999998"/>
    <x v="5"/>
    <n v="72.916700000000006"/>
    <x v="1"/>
    <n v="21.875499999999999"/>
    <x v="3"/>
    <n v="678"/>
    <n v="3722"/>
    <n v="4400"/>
  </r>
  <r>
    <n v="117"/>
    <s v="27/04/2018"/>
    <x v="1"/>
    <n v="2018"/>
    <x v="3"/>
    <x v="0"/>
    <x v="4"/>
    <x v="1"/>
    <x v="0"/>
    <n v="25.42"/>
    <n v="28.757100000000001"/>
    <x v="5"/>
    <n v="83.541700000000006"/>
    <x v="0"/>
    <n v="20.917400000000001"/>
    <x v="3"/>
    <n v="547"/>
    <n v="3325"/>
    <n v="3872"/>
  </r>
  <r>
    <n v="118"/>
    <s v="28/04/2018"/>
    <x v="1"/>
    <n v="2018"/>
    <x v="3"/>
    <x v="0"/>
    <x v="5"/>
    <x v="1"/>
    <x v="0"/>
    <n v="25.317499999999999"/>
    <n v="28.946449999999999"/>
    <x v="5"/>
    <n v="70.083299999999994"/>
    <x v="1"/>
    <n v="21.500836"/>
    <x v="3"/>
    <n v="569"/>
    <n v="3489"/>
    <n v="4058"/>
  </r>
  <r>
    <n v="119"/>
    <s v="29/04/2018"/>
    <x v="1"/>
    <n v="2018"/>
    <x v="3"/>
    <x v="0"/>
    <x v="6"/>
    <x v="1"/>
    <x v="1"/>
    <n v="20.91"/>
    <n v="24.873149999999999"/>
    <x v="4"/>
    <n v="45.708300000000001"/>
    <x v="2"/>
    <n v="16.084220999999999"/>
    <x v="1"/>
    <n v="878"/>
    <n v="3717"/>
    <n v="4595"/>
  </r>
  <r>
    <n v="120"/>
    <s v="30/04/2018"/>
    <x v="1"/>
    <n v="2018"/>
    <x v="3"/>
    <x v="0"/>
    <x v="0"/>
    <x v="0"/>
    <x v="1"/>
    <n v="19.372499999999999"/>
    <n v="23.201049999999999"/>
    <x v="4"/>
    <n v="50.333300000000001"/>
    <x v="2"/>
    <n v="15.750025000000001"/>
    <x v="1"/>
    <n v="1965"/>
    <n v="3347"/>
    <n v="5312"/>
  </r>
  <r>
    <n v="121"/>
    <d v="2018-01-05T00:00:00"/>
    <x v="1"/>
    <n v="2018"/>
    <x v="4"/>
    <x v="0"/>
    <x v="1"/>
    <x v="0"/>
    <x v="0"/>
    <n v="18.518346999999999"/>
    <n v="22.4102"/>
    <x v="4"/>
    <n v="76.208299999999994"/>
    <x v="1"/>
    <n v="7.125718"/>
    <x v="2"/>
    <n v="1138"/>
    <n v="2213"/>
    <n v="3351"/>
  </r>
  <r>
    <n v="122"/>
    <d v="2018-02-05T00:00:00"/>
    <x v="1"/>
    <n v="2018"/>
    <x v="4"/>
    <x v="0"/>
    <x v="2"/>
    <x v="1"/>
    <x v="0"/>
    <n v="22.515847000000001"/>
    <n v="26.641649999999998"/>
    <x v="5"/>
    <n v="73"/>
    <x v="1"/>
    <n v="12.291418"/>
    <x v="0"/>
    <n v="847"/>
    <n v="3554"/>
    <n v="4401"/>
  </r>
  <r>
    <n v="123"/>
    <d v="2018-03-05T00:00:00"/>
    <x v="1"/>
    <n v="2018"/>
    <x v="4"/>
    <x v="0"/>
    <x v="3"/>
    <x v="1"/>
    <x v="0"/>
    <n v="25.283346999999999"/>
    <n v="29.103950000000001"/>
    <x v="5"/>
    <n v="69.708299999999994"/>
    <x v="1"/>
    <n v="22.958689"/>
    <x v="3"/>
    <n v="603"/>
    <n v="3848"/>
    <n v="4451"/>
  </r>
  <r>
    <n v="124"/>
    <d v="2018-04-05T00:00:00"/>
    <x v="1"/>
    <n v="2018"/>
    <x v="4"/>
    <x v="0"/>
    <x v="4"/>
    <x v="1"/>
    <x v="0"/>
    <n v="16.980847000000001"/>
    <n v="20.232500000000002"/>
    <x v="4"/>
    <n v="73.708299999999994"/>
    <x v="1"/>
    <n v="22.042732000000001"/>
    <x v="3"/>
    <n v="255"/>
    <n v="2378"/>
    <n v="2633"/>
  </r>
  <r>
    <n v="125"/>
    <d v="2018-05-05T00:00:00"/>
    <x v="1"/>
    <n v="2018"/>
    <x v="4"/>
    <x v="0"/>
    <x v="5"/>
    <x v="1"/>
    <x v="1"/>
    <n v="18.825847"/>
    <n v="22.095849999999999"/>
    <x v="4"/>
    <n v="44.416699999999999"/>
    <x v="2"/>
    <n v="19.791264000000002"/>
    <x v="1"/>
    <n v="614"/>
    <n v="3819"/>
    <n v="4433"/>
  </r>
  <r>
    <n v="126"/>
    <d v="2018-06-05T00:00:00"/>
    <x v="1"/>
    <n v="2018"/>
    <x v="4"/>
    <x v="0"/>
    <x v="6"/>
    <x v="1"/>
    <x v="1"/>
    <n v="19.645847"/>
    <n v="23.705850000000002"/>
    <x v="4"/>
    <n v="59"/>
    <x v="2"/>
    <n v="15.292482"/>
    <x v="1"/>
    <n v="894"/>
    <n v="3714"/>
    <n v="4608"/>
  </r>
  <r>
    <n v="127"/>
    <d v="2018-07-05T00:00:00"/>
    <x v="1"/>
    <n v="2018"/>
    <x v="4"/>
    <x v="0"/>
    <x v="0"/>
    <x v="0"/>
    <x v="1"/>
    <n v="21.32"/>
    <n v="25.631049999999998"/>
    <x v="5"/>
    <n v="54.125"/>
    <x v="2"/>
    <n v="10.75015"/>
    <x v="0"/>
    <n v="1612"/>
    <n v="3102"/>
    <n v="4714"/>
  </r>
  <r>
    <n v="128"/>
    <d v="2018-08-05T00:00:00"/>
    <x v="1"/>
    <n v="2018"/>
    <x v="4"/>
    <x v="0"/>
    <x v="1"/>
    <x v="0"/>
    <x v="1"/>
    <n v="21.661653000000001"/>
    <n v="25.946650000000002"/>
    <x v="5"/>
    <n v="63.166699999999999"/>
    <x v="1"/>
    <n v="5.0007124999999997"/>
    <x v="2"/>
    <n v="1401"/>
    <n v="2932"/>
    <n v="4333"/>
  </r>
  <r>
    <n v="129"/>
    <d v="2018-09-05T00:00:00"/>
    <x v="1"/>
    <n v="2018"/>
    <x v="4"/>
    <x v="0"/>
    <x v="2"/>
    <x v="1"/>
    <x v="1"/>
    <n v="21.8325"/>
    <n v="26.2623"/>
    <x v="5"/>
    <n v="58.875"/>
    <x v="2"/>
    <n v="11.792"/>
    <x v="0"/>
    <n v="664"/>
    <n v="3698"/>
    <n v="4362"/>
  </r>
  <r>
    <n v="130"/>
    <d v="2018-10-05T00:00:00"/>
    <x v="1"/>
    <n v="2018"/>
    <x v="4"/>
    <x v="0"/>
    <x v="3"/>
    <x v="1"/>
    <x v="1"/>
    <n v="21.8325"/>
    <n v="26.136050000000001"/>
    <x v="5"/>
    <n v="48.916699999999999"/>
    <x v="2"/>
    <n v="7.7499570000000002"/>
    <x v="2"/>
    <n v="694"/>
    <n v="4109"/>
    <n v="4803"/>
  </r>
  <r>
    <n v="131"/>
    <d v="2018-11-05T00:00:00"/>
    <x v="1"/>
    <n v="2018"/>
    <x v="4"/>
    <x v="0"/>
    <x v="4"/>
    <x v="1"/>
    <x v="1"/>
    <n v="22.2425"/>
    <n v="26.42"/>
    <x v="5"/>
    <n v="63.291699999999999"/>
    <x v="1"/>
    <n v="8.0830140000000004"/>
    <x v="2"/>
    <n v="550"/>
    <n v="3632"/>
    <n v="4182"/>
  </r>
  <r>
    <n v="132"/>
    <d v="2018-12-05T00:00:00"/>
    <x v="1"/>
    <n v="2018"/>
    <x v="4"/>
    <x v="0"/>
    <x v="5"/>
    <x v="1"/>
    <x v="1"/>
    <n v="21.934999999999999"/>
    <n v="26.168150000000001"/>
    <x v="5"/>
    <n v="74.75"/>
    <x v="1"/>
    <n v="12.707689"/>
    <x v="0"/>
    <n v="695"/>
    <n v="4169"/>
    <n v="4864"/>
  </r>
  <r>
    <n v="133"/>
    <s v="13/05/2018"/>
    <x v="1"/>
    <n v="2018"/>
    <x v="4"/>
    <x v="0"/>
    <x v="6"/>
    <x v="1"/>
    <x v="0"/>
    <n v="21.012499999999999"/>
    <n v="24.715"/>
    <x v="4"/>
    <n v="86.333299999999994"/>
    <x v="0"/>
    <n v="12.041575"/>
    <x v="0"/>
    <n v="692"/>
    <n v="3413"/>
    <n v="4105"/>
  </r>
  <r>
    <n v="134"/>
    <s v="14/05/2018"/>
    <x v="1"/>
    <n v="2018"/>
    <x v="4"/>
    <x v="0"/>
    <x v="0"/>
    <x v="0"/>
    <x v="0"/>
    <n v="21.354153"/>
    <n v="25.03145"/>
    <x v="5"/>
    <n v="92.25"/>
    <x v="0"/>
    <n v="9.0416500000000006"/>
    <x v="2"/>
    <n v="902"/>
    <n v="2507"/>
    <n v="3409"/>
  </r>
  <r>
    <n v="135"/>
    <s v="15/05/2018"/>
    <x v="1"/>
    <n v="2018"/>
    <x v="4"/>
    <x v="0"/>
    <x v="1"/>
    <x v="0"/>
    <x v="0"/>
    <n v="23.0625"/>
    <n v="26.8"/>
    <x v="5"/>
    <n v="86.708299999999994"/>
    <x v="0"/>
    <n v="10.249593000000001"/>
    <x v="0"/>
    <n v="1582"/>
    <n v="2971"/>
    <n v="4553"/>
  </r>
  <r>
    <n v="136"/>
    <s v="16/05/2018"/>
    <x v="1"/>
    <n v="2018"/>
    <x v="4"/>
    <x v="0"/>
    <x v="2"/>
    <x v="1"/>
    <x v="1"/>
    <n v="23.677499999999998"/>
    <n v="27.525600000000001"/>
    <x v="5"/>
    <n v="78.791700000000006"/>
    <x v="1"/>
    <n v="8.5003569999999993"/>
    <x v="2"/>
    <n v="773"/>
    <n v="3185"/>
    <n v="3958"/>
  </r>
  <r>
    <n v="137"/>
    <s v="17/05/2018"/>
    <x v="1"/>
    <n v="2018"/>
    <x v="4"/>
    <x v="0"/>
    <x v="3"/>
    <x v="1"/>
    <x v="0"/>
    <n v="23.028347"/>
    <n v="26.926449999999999"/>
    <x v="5"/>
    <n v="83.791700000000006"/>
    <x v="0"/>
    <n v="18.582718"/>
    <x v="1"/>
    <n v="678"/>
    <n v="3445"/>
    <n v="4123"/>
  </r>
  <r>
    <n v="138"/>
    <s v="18/05/2018"/>
    <x v="1"/>
    <n v="2018"/>
    <x v="4"/>
    <x v="0"/>
    <x v="4"/>
    <x v="1"/>
    <x v="0"/>
    <n v="22.55"/>
    <n v="26.357900000000001"/>
    <x v="5"/>
    <n v="87"/>
    <x v="0"/>
    <n v="13.499964"/>
    <x v="0"/>
    <n v="536"/>
    <n v="3319"/>
    <n v="3855"/>
  </r>
  <r>
    <n v="139"/>
    <s v="19/05/2018"/>
    <x v="1"/>
    <n v="2018"/>
    <x v="4"/>
    <x v="0"/>
    <x v="5"/>
    <x v="1"/>
    <x v="0"/>
    <n v="21.764153"/>
    <n v="25.537099999999999"/>
    <x v="5"/>
    <n v="82.958299999999994"/>
    <x v="0"/>
    <n v="7.2502709999999997"/>
    <x v="2"/>
    <n v="735"/>
    <n v="3840"/>
    <n v="4575"/>
  </r>
  <r>
    <n v="140"/>
    <s v="20/05/2018"/>
    <x v="1"/>
    <n v="2018"/>
    <x v="4"/>
    <x v="0"/>
    <x v="6"/>
    <x v="1"/>
    <x v="1"/>
    <n v="22.003347000000002"/>
    <n v="26.452100000000002"/>
    <x v="5"/>
    <n v="71.958299999999994"/>
    <x v="1"/>
    <n v="8.3758710000000001"/>
    <x v="2"/>
    <n v="909"/>
    <n v="4008"/>
    <n v="4917"/>
  </r>
  <r>
    <n v="141"/>
    <s v="21/05/2018"/>
    <x v="1"/>
    <n v="2018"/>
    <x v="4"/>
    <x v="0"/>
    <x v="0"/>
    <x v="0"/>
    <x v="1"/>
    <n v="24.702500000000001"/>
    <n v="28.598749999999999"/>
    <x v="5"/>
    <n v="62.666699999999999"/>
    <x v="1"/>
    <n v="8.0835500000000007"/>
    <x v="2"/>
    <n v="2258"/>
    <n v="3547"/>
    <n v="5805"/>
  </r>
  <r>
    <n v="142"/>
    <s v="22/05/2018"/>
    <x v="1"/>
    <n v="2018"/>
    <x v="4"/>
    <x v="0"/>
    <x v="1"/>
    <x v="0"/>
    <x v="1"/>
    <n v="24.770847"/>
    <n v="28.725000000000001"/>
    <x v="5"/>
    <n v="74.958299999999994"/>
    <x v="1"/>
    <n v="9.9165360000000007"/>
    <x v="2"/>
    <n v="1576"/>
    <n v="3084"/>
    <n v="4660"/>
  </r>
  <r>
    <n v="143"/>
    <s v="23/05/2018"/>
    <x v="1"/>
    <n v="2018"/>
    <x v="4"/>
    <x v="0"/>
    <x v="2"/>
    <x v="1"/>
    <x v="0"/>
    <n v="25.898347000000001"/>
    <n v="29.514800000000001"/>
    <x v="5"/>
    <n v="81"/>
    <x v="0"/>
    <n v="15.667414000000001"/>
    <x v="1"/>
    <n v="836"/>
    <n v="3438"/>
    <n v="4274"/>
  </r>
  <r>
    <n v="144"/>
    <s v="24/05/2018"/>
    <x v="1"/>
    <n v="2018"/>
    <x v="4"/>
    <x v="0"/>
    <x v="3"/>
    <x v="1"/>
    <x v="0"/>
    <n v="27.06"/>
    <n v="30.240649999999999"/>
    <x v="6"/>
    <n v="74.083299999999994"/>
    <x v="1"/>
    <n v="13.875164"/>
    <x v="0"/>
    <n v="659"/>
    <n v="3833"/>
    <n v="4492"/>
  </r>
  <r>
    <n v="145"/>
    <s v="25/05/2018"/>
    <x v="1"/>
    <n v="2018"/>
    <x v="4"/>
    <x v="0"/>
    <x v="4"/>
    <x v="1"/>
    <x v="1"/>
    <n v="27.094152999999999"/>
    <n v="30.777100000000001"/>
    <x v="6"/>
    <n v="69.625"/>
    <x v="1"/>
    <n v="10.333610999999999"/>
    <x v="0"/>
    <n v="740"/>
    <n v="4238"/>
    <n v="4978"/>
  </r>
  <r>
    <n v="146"/>
    <s v="26/05/2018"/>
    <x v="1"/>
    <n v="2018"/>
    <x v="4"/>
    <x v="0"/>
    <x v="5"/>
    <x v="1"/>
    <x v="1"/>
    <n v="29.041653"/>
    <n v="32.734400000000001"/>
    <x v="6"/>
    <n v="67.75"/>
    <x v="1"/>
    <n v="13.376014"/>
    <x v="0"/>
    <n v="758"/>
    <n v="3919"/>
    <n v="4677"/>
  </r>
  <r>
    <n v="147"/>
    <s v="27/05/2018"/>
    <x v="1"/>
    <n v="2018"/>
    <x v="4"/>
    <x v="0"/>
    <x v="6"/>
    <x v="1"/>
    <x v="1"/>
    <n v="27.948346999999998"/>
    <n v="31.8504"/>
    <x v="6"/>
    <n v="65.375"/>
    <x v="1"/>
    <n v="16.125492999999999"/>
    <x v="1"/>
    <n v="871"/>
    <n v="3808"/>
    <n v="4679"/>
  </r>
  <r>
    <n v="148"/>
    <s v="28/05/2018"/>
    <x v="1"/>
    <n v="2018"/>
    <x v="4"/>
    <x v="0"/>
    <x v="0"/>
    <x v="0"/>
    <x v="1"/>
    <n v="26.889153"/>
    <n v="30.618950000000002"/>
    <x v="6"/>
    <n v="72.958299999999994"/>
    <x v="1"/>
    <n v="15.416164"/>
    <x v="1"/>
    <n v="2001"/>
    <n v="2757"/>
    <n v="4758"/>
  </r>
  <r>
    <n v="149"/>
    <s v="29/05/2018"/>
    <x v="1"/>
    <n v="2018"/>
    <x v="4"/>
    <x v="0"/>
    <x v="1"/>
    <x v="0"/>
    <x v="1"/>
    <n v="27.3675"/>
    <n v="30.7775"/>
    <x v="6"/>
    <n v="81.875"/>
    <x v="0"/>
    <n v="14.333845999999999"/>
    <x v="0"/>
    <n v="2355"/>
    <n v="2433"/>
    <n v="4788"/>
  </r>
  <r>
    <n v="150"/>
    <s v="30/05/2018"/>
    <x v="1"/>
    <n v="2018"/>
    <x v="4"/>
    <x v="1"/>
    <x v="2"/>
    <x v="0"/>
    <x v="1"/>
    <n v="30.066652999999999"/>
    <n v="33.554600000000001"/>
    <x v="6"/>
    <n v="68.5"/>
    <x v="1"/>
    <n v="8.7920750000000005"/>
    <x v="2"/>
    <n v="1549"/>
    <n v="2549"/>
    <n v="4098"/>
  </r>
  <r>
    <n v="151"/>
    <s v="31/05/2018"/>
    <x v="1"/>
    <n v="2018"/>
    <x v="4"/>
    <x v="0"/>
    <x v="3"/>
    <x v="1"/>
    <x v="1"/>
    <n v="31.774999999999999"/>
    <n v="36.269150000000003"/>
    <x v="7"/>
    <n v="63.666699999999999"/>
    <x v="1"/>
    <n v="7.4590430000000003"/>
    <x v="2"/>
    <n v="673"/>
    <n v="3309"/>
    <n v="3982"/>
  </r>
  <r>
    <n v="152"/>
    <d v="2018-01-06T00:00:00"/>
    <x v="1"/>
    <n v="2018"/>
    <x v="5"/>
    <x v="0"/>
    <x v="4"/>
    <x v="1"/>
    <x v="0"/>
    <n v="31.330846999999999"/>
    <n v="36.048349999999999"/>
    <x v="7"/>
    <n v="67.708299999999994"/>
    <x v="1"/>
    <n v="13.875164"/>
    <x v="0"/>
    <n v="513"/>
    <n v="3461"/>
    <n v="3974"/>
  </r>
  <r>
    <n v="153"/>
    <d v="2018-02-06T00:00:00"/>
    <x v="1"/>
    <n v="2018"/>
    <x v="5"/>
    <x v="0"/>
    <x v="5"/>
    <x v="1"/>
    <x v="1"/>
    <n v="29.315000000000001"/>
    <n v="32.197099999999999"/>
    <x v="6"/>
    <n v="30.5"/>
    <x v="3"/>
    <n v="19.583228999999999"/>
    <x v="1"/>
    <n v="736"/>
    <n v="4232"/>
    <n v="4968"/>
  </r>
  <r>
    <n v="154"/>
    <d v="2018-03-06T00:00:00"/>
    <x v="1"/>
    <n v="2018"/>
    <x v="5"/>
    <x v="0"/>
    <x v="6"/>
    <x v="1"/>
    <x v="1"/>
    <n v="25.42"/>
    <n v="29.356649999999998"/>
    <x v="5"/>
    <n v="35.416699999999999"/>
    <x v="3"/>
    <n v="16.959106999999999"/>
    <x v="1"/>
    <n v="898"/>
    <n v="4414"/>
    <n v="5312"/>
  </r>
  <r>
    <n v="155"/>
    <d v="2018-04-06T00:00:00"/>
    <x v="1"/>
    <n v="2018"/>
    <x v="5"/>
    <x v="0"/>
    <x v="0"/>
    <x v="0"/>
    <x v="1"/>
    <n v="26.035"/>
    <n v="29.7348"/>
    <x v="5"/>
    <n v="45.625"/>
    <x v="2"/>
    <n v="8.2505140000000008"/>
    <x v="2"/>
    <n v="1869"/>
    <n v="3473"/>
    <n v="5342"/>
  </r>
  <r>
    <n v="156"/>
    <d v="2018-05-06T00:00:00"/>
    <x v="1"/>
    <n v="2018"/>
    <x v="5"/>
    <x v="0"/>
    <x v="1"/>
    <x v="0"/>
    <x v="0"/>
    <n v="26.581652999999999"/>
    <n v="30.840199999999999"/>
    <x v="6"/>
    <n v="65.25"/>
    <x v="1"/>
    <n v="9.2923639999999992"/>
    <x v="2"/>
    <n v="1685"/>
    <n v="3221"/>
    <n v="4906"/>
  </r>
  <r>
    <n v="157"/>
    <d v="2018-06-06T00:00:00"/>
    <x v="1"/>
    <n v="2018"/>
    <x v="5"/>
    <x v="0"/>
    <x v="2"/>
    <x v="1"/>
    <x v="1"/>
    <n v="27.811653"/>
    <n v="31.0929"/>
    <x v="6"/>
    <n v="60"/>
    <x v="1"/>
    <n v="8.1670320000000007"/>
    <x v="2"/>
    <n v="673"/>
    <n v="3875"/>
    <n v="4548"/>
  </r>
  <r>
    <n v="158"/>
    <d v="2018-07-06T00:00:00"/>
    <x v="1"/>
    <n v="2018"/>
    <x v="5"/>
    <x v="0"/>
    <x v="3"/>
    <x v="1"/>
    <x v="1"/>
    <n v="29.0075"/>
    <n v="32.797499999999999"/>
    <x v="6"/>
    <n v="59.791699999999999"/>
    <x v="2"/>
    <n v="12.583136"/>
    <x v="0"/>
    <n v="763"/>
    <n v="4070"/>
    <n v="4833"/>
  </r>
  <r>
    <n v="159"/>
    <d v="2018-08-06T00:00:00"/>
    <x v="1"/>
    <n v="2018"/>
    <x v="5"/>
    <x v="0"/>
    <x v="4"/>
    <x v="1"/>
    <x v="1"/>
    <n v="31.809152999999998"/>
    <n v="36.363950000000003"/>
    <x v="7"/>
    <n v="62.208300000000001"/>
    <x v="1"/>
    <n v="9.1667389999999997"/>
    <x v="2"/>
    <n v="676"/>
    <n v="3725"/>
    <n v="4401"/>
  </r>
  <r>
    <n v="160"/>
    <d v="2018-09-06T00:00:00"/>
    <x v="1"/>
    <n v="2018"/>
    <x v="5"/>
    <x v="0"/>
    <x v="5"/>
    <x v="1"/>
    <x v="0"/>
    <n v="33.141652999999998"/>
    <n v="37.878950000000003"/>
    <x v="7"/>
    <n v="56.833300000000001"/>
    <x v="2"/>
    <n v="10.042161"/>
    <x v="0"/>
    <n v="563"/>
    <n v="3352"/>
    <n v="3915"/>
  </r>
  <r>
    <n v="161"/>
    <d v="2018-10-06T00:00:00"/>
    <x v="1"/>
    <n v="2018"/>
    <x v="5"/>
    <x v="0"/>
    <x v="6"/>
    <x v="1"/>
    <x v="1"/>
    <n v="30.954999999999998"/>
    <n v="35.1646"/>
    <x v="7"/>
    <n v="60.5"/>
    <x v="1"/>
    <n v="9.4171180000000003"/>
    <x v="2"/>
    <n v="815"/>
    <n v="3771"/>
    <n v="4586"/>
  </r>
  <r>
    <n v="162"/>
    <d v="2018-11-06T00:00:00"/>
    <x v="1"/>
    <n v="2018"/>
    <x v="5"/>
    <x v="0"/>
    <x v="0"/>
    <x v="0"/>
    <x v="1"/>
    <n v="29.725000000000001"/>
    <n v="33.901899999999998"/>
    <x v="6"/>
    <n v="65.458299999999994"/>
    <x v="1"/>
    <n v="10.37495"/>
    <x v="0"/>
    <n v="1729"/>
    <n v="3237"/>
    <n v="4966"/>
  </r>
  <r>
    <n v="163"/>
    <d v="2018-12-06T00:00:00"/>
    <x v="1"/>
    <n v="2018"/>
    <x v="5"/>
    <x v="0"/>
    <x v="1"/>
    <x v="0"/>
    <x v="1"/>
    <n v="28.392499999999998"/>
    <n v="32.166249999999998"/>
    <x v="6"/>
    <n v="74.791700000000006"/>
    <x v="1"/>
    <n v="10.958989000000001"/>
    <x v="0"/>
    <n v="1467"/>
    <n v="2993"/>
    <n v="4460"/>
  </r>
  <r>
    <n v="164"/>
    <s v="13/06/2018"/>
    <x v="1"/>
    <n v="2018"/>
    <x v="5"/>
    <x v="0"/>
    <x v="2"/>
    <x v="1"/>
    <x v="1"/>
    <n v="26.035"/>
    <n v="30.082699999999999"/>
    <x v="6"/>
    <n v="49.458300000000001"/>
    <x v="2"/>
    <n v="20.458449999999999"/>
    <x v="3"/>
    <n v="863"/>
    <n v="4157"/>
    <n v="5020"/>
  </r>
  <r>
    <n v="165"/>
    <s v="14/06/2018"/>
    <x v="1"/>
    <n v="2018"/>
    <x v="5"/>
    <x v="0"/>
    <x v="3"/>
    <x v="1"/>
    <x v="1"/>
    <n v="24.770847"/>
    <n v="29.577300000000001"/>
    <x v="5"/>
    <n v="50.708300000000001"/>
    <x v="2"/>
    <n v="18.041961000000001"/>
    <x v="1"/>
    <n v="727"/>
    <n v="4164"/>
    <n v="4891"/>
  </r>
  <r>
    <n v="166"/>
    <s v="15/06/2018"/>
    <x v="1"/>
    <n v="2018"/>
    <x v="5"/>
    <x v="0"/>
    <x v="4"/>
    <x v="1"/>
    <x v="1"/>
    <n v="25.693346999999999"/>
    <n v="29.387699999999999"/>
    <x v="5"/>
    <n v="47.166699999999999"/>
    <x v="2"/>
    <n v="11.250104"/>
    <x v="0"/>
    <n v="769"/>
    <n v="4411"/>
    <n v="5180"/>
  </r>
  <r>
    <n v="167"/>
    <s v="16/06/2018"/>
    <x v="1"/>
    <n v="2018"/>
    <x v="5"/>
    <x v="0"/>
    <x v="5"/>
    <x v="1"/>
    <x v="0"/>
    <n v="25.761652999999999"/>
    <n v="29.767299999999999"/>
    <x v="5"/>
    <n v="68.833299999999994"/>
    <x v="1"/>
    <n v="13.833557000000001"/>
    <x v="0"/>
    <n v="545"/>
    <n v="3222"/>
    <n v="3767"/>
  </r>
  <r>
    <n v="168"/>
    <s v="17/06/2018"/>
    <x v="1"/>
    <n v="2018"/>
    <x v="5"/>
    <x v="0"/>
    <x v="6"/>
    <x v="1"/>
    <x v="1"/>
    <n v="26.615846999999999"/>
    <n v="30.01915"/>
    <x v="6"/>
    <n v="73.583299999999994"/>
    <x v="1"/>
    <n v="9.5829430000000002"/>
    <x v="2"/>
    <n v="863"/>
    <n v="3981"/>
    <n v="4844"/>
  </r>
  <r>
    <n v="169"/>
    <s v="18/06/2018"/>
    <x v="1"/>
    <n v="2018"/>
    <x v="5"/>
    <x v="0"/>
    <x v="0"/>
    <x v="0"/>
    <x v="1"/>
    <n v="28.563347"/>
    <n v="32.197699999999998"/>
    <x v="6"/>
    <n v="67.041700000000006"/>
    <x v="1"/>
    <n v="8.0003360000000008"/>
    <x v="2"/>
    <n v="1807"/>
    <n v="3312"/>
    <n v="5119"/>
  </r>
  <r>
    <n v="170"/>
    <s v="19/06/2018"/>
    <x v="1"/>
    <n v="2018"/>
    <x v="5"/>
    <x v="0"/>
    <x v="1"/>
    <x v="0"/>
    <x v="0"/>
    <n v="28.665846999999999"/>
    <n v="32.292299999999997"/>
    <x v="6"/>
    <n v="66.666700000000006"/>
    <x v="1"/>
    <n v="6.8339999999999996"/>
    <x v="2"/>
    <n v="1639"/>
    <n v="3105"/>
    <n v="4744"/>
  </r>
  <r>
    <n v="171"/>
    <s v="20/06/2018"/>
    <x v="1"/>
    <n v="2018"/>
    <x v="5"/>
    <x v="0"/>
    <x v="2"/>
    <x v="1"/>
    <x v="0"/>
    <n v="26.035"/>
    <n v="29.767299999999999"/>
    <x v="5"/>
    <n v="74.625"/>
    <x v="1"/>
    <n v="10.416824999999999"/>
    <x v="0"/>
    <n v="699"/>
    <n v="3311"/>
    <n v="4010"/>
  </r>
  <r>
    <n v="172"/>
    <s v="21/06/2018"/>
    <x v="2"/>
    <n v="2018"/>
    <x v="5"/>
    <x v="0"/>
    <x v="3"/>
    <x v="1"/>
    <x v="0"/>
    <n v="27.914152999999999"/>
    <n v="31.882300000000001"/>
    <x v="6"/>
    <n v="77.041700000000006"/>
    <x v="1"/>
    <n v="11.458674999999999"/>
    <x v="0"/>
    <n v="774"/>
    <n v="4061"/>
    <n v="4835"/>
  </r>
  <r>
    <n v="173"/>
    <s v="22/06/2018"/>
    <x v="2"/>
    <n v="2018"/>
    <x v="5"/>
    <x v="0"/>
    <x v="4"/>
    <x v="1"/>
    <x v="1"/>
    <n v="30.066652999999999"/>
    <n v="34.691450000000003"/>
    <x v="6"/>
    <n v="70.75"/>
    <x v="1"/>
    <n v="11.541554"/>
    <x v="0"/>
    <n v="661"/>
    <n v="3846"/>
    <n v="4507"/>
  </r>
  <r>
    <n v="174"/>
    <s v="23/06/2018"/>
    <x v="2"/>
    <n v="2018"/>
    <x v="5"/>
    <x v="0"/>
    <x v="5"/>
    <x v="1"/>
    <x v="0"/>
    <n v="29.861653"/>
    <n v="34.691650000000003"/>
    <x v="6"/>
    <n v="70.333299999999994"/>
    <x v="1"/>
    <n v="15.999867999999999"/>
    <x v="1"/>
    <n v="746"/>
    <n v="4044"/>
    <n v="4790"/>
  </r>
  <r>
    <n v="175"/>
    <s v="24/06/2018"/>
    <x v="2"/>
    <n v="2018"/>
    <x v="5"/>
    <x v="0"/>
    <x v="6"/>
    <x v="1"/>
    <x v="1"/>
    <n v="29.690847000000002"/>
    <n v="32.829149999999998"/>
    <x v="6"/>
    <n v="57.333300000000001"/>
    <x v="2"/>
    <n v="14.875674999999999"/>
    <x v="0"/>
    <n v="969"/>
    <n v="4022"/>
    <n v="4991"/>
  </r>
  <r>
    <n v="176"/>
    <s v="25/06/2018"/>
    <x v="2"/>
    <n v="2018"/>
    <x v="5"/>
    <x v="0"/>
    <x v="0"/>
    <x v="0"/>
    <x v="1"/>
    <n v="28.495000000000001"/>
    <n v="32.165649999999999"/>
    <x v="6"/>
    <n v="48.333300000000001"/>
    <x v="2"/>
    <n v="14.041257"/>
    <x v="0"/>
    <n v="1782"/>
    <n v="3420"/>
    <n v="5202"/>
  </r>
  <r>
    <n v="177"/>
    <s v="26/06/2018"/>
    <x v="2"/>
    <n v="2018"/>
    <x v="5"/>
    <x v="0"/>
    <x v="1"/>
    <x v="0"/>
    <x v="1"/>
    <n v="27.88"/>
    <n v="31.881450000000001"/>
    <x v="6"/>
    <n v="51.333300000000001"/>
    <x v="2"/>
    <n v="6.3337310999999996"/>
    <x v="2"/>
    <n v="1920"/>
    <n v="3385"/>
    <n v="5305"/>
  </r>
  <r>
    <n v="178"/>
    <s v="27/06/2018"/>
    <x v="2"/>
    <n v="2018"/>
    <x v="5"/>
    <x v="0"/>
    <x v="2"/>
    <x v="1"/>
    <x v="0"/>
    <n v="27.982500000000002"/>
    <n v="31.850200000000001"/>
    <x v="6"/>
    <n v="65.833299999999994"/>
    <x v="1"/>
    <n v="7.2083959999999996"/>
    <x v="2"/>
    <n v="854"/>
    <n v="3854"/>
    <n v="4708"/>
  </r>
  <r>
    <n v="179"/>
    <s v="28/06/2018"/>
    <x v="2"/>
    <n v="2018"/>
    <x v="5"/>
    <x v="0"/>
    <x v="3"/>
    <x v="1"/>
    <x v="1"/>
    <n v="30.510846999999998"/>
    <n v="34.627899999999997"/>
    <x v="6"/>
    <n v="63.416699999999999"/>
    <x v="1"/>
    <n v="9.6669610000000006"/>
    <x v="2"/>
    <n v="732"/>
    <n v="3916"/>
    <n v="4648"/>
  </r>
  <r>
    <n v="180"/>
    <s v="29/06/2018"/>
    <x v="2"/>
    <n v="2018"/>
    <x v="5"/>
    <x v="0"/>
    <x v="4"/>
    <x v="1"/>
    <x v="1"/>
    <n v="29.861653"/>
    <n v="32.734400000000001"/>
    <x v="6"/>
    <n v="49.791699999999999"/>
    <x v="2"/>
    <n v="17.542007000000002"/>
    <x v="1"/>
    <n v="848"/>
    <n v="4377"/>
    <n v="5225"/>
  </r>
  <r>
    <n v="181"/>
    <s v="30/06/2018"/>
    <x v="2"/>
    <n v="2018"/>
    <x v="5"/>
    <x v="0"/>
    <x v="5"/>
    <x v="1"/>
    <x v="1"/>
    <n v="28.563347"/>
    <n v="31.8504"/>
    <x v="6"/>
    <n v="43.416699999999999"/>
    <x v="2"/>
    <n v="12.415903999999999"/>
    <x v="0"/>
    <n v="1027"/>
    <n v="4488"/>
    <n v="5515"/>
  </r>
  <r>
    <n v="182"/>
    <d v="2018-01-07T00:00:00"/>
    <x v="2"/>
    <n v="2018"/>
    <x v="6"/>
    <x v="0"/>
    <x v="6"/>
    <x v="1"/>
    <x v="1"/>
    <n v="29.622499999999999"/>
    <n v="32.6081"/>
    <x v="6"/>
    <n v="39.625"/>
    <x v="3"/>
    <n v="6.8747360000000004"/>
    <x v="2"/>
    <n v="1246"/>
    <n v="4116"/>
    <n v="5362"/>
  </r>
  <r>
    <n v="183"/>
    <d v="2018-02-07T00:00:00"/>
    <x v="2"/>
    <n v="2018"/>
    <x v="6"/>
    <x v="0"/>
    <x v="0"/>
    <x v="0"/>
    <x v="1"/>
    <n v="30.271653000000001"/>
    <n v="33.365400000000001"/>
    <x v="6"/>
    <n v="44.458300000000001"/>
    <x v="2"/>
    <n v="7.7091539999999998"/>
    <x v="2"/>
    <n v="2204"/>
    <n v="2915"/>
    <n v="5119"/>
  </r>
  <r>
    <n v="184"/>
    <d v="2018-03-07T00:00:00"/>
    <x v="2"/>
    <n v="2018"/>
    <x v="6"/>
    <x v="0"/>
    <x v="1"/>
    <x v="0"/>
    <x v="0"/>
    <n v="29.383347000000001"/>
    <n v="33.428750000000001"/>
    <x v="6"/>
    <n v="68.25"/>
    <x v="1"/>
    <n v="15.333486000000001"/>
    <x v="1"/>
    <n v="2282"/>
    <n v="2367"/>
    <n v="4649"/>
  </r>
  <r>
    <n v="185"/>
    <d v="2018-04-07T00:00:00"/>
    <x v="2"/>
    <n v="2018"/>
    <x v="6"/>
    <x v="1"/>
    <x v="2"/>
    <x v="0"/>
    <x v="0"/>
    <n v="29.793347000000001"/>
    <n v="33.270850000000003"/>
    <x v="6"/>
    <n v="63.791699999999999"/>
    <x v="1"/>
    <n v="5.4591063999999996"/>
    <x v="2"/>
    <n v="3065"/>
    <n v="2978"/>
    <n v="6043"/>
  </r>
  <r>
    <n v="186"/>
    <d v="2018-05-07T00:00:00"/>
    <x v="2"/>
    <n v="2018"/>
    <x v="6"/>
    <x v="0"/>
    <x v="3"/>
    <x v="1"/>
    <x v="1"/>
    <n v="30.613347000000001"/>
    <n v="34.816899999999997"/>
    <x v="6"/>
    <n v="59.041699999999999"/>
    <x v="2"/>
    <n v="8.4592860000000005"/>
    <x v="2"/>
    <n v="1031"/>
    <n v="3634"/>
    <n v="4665"/>
  </r>
  <r>
    <n v="187"/>
    <d v="2018-06-07T00:00:00"/>
    <x v="2"/>
    <n v="2018"/>
    <x v="6"/>
    <x v="0"/>
    <x v="4"/>
    <x v="1"/>
    <x v="1"/>
    <n v="29.52"/>
    <n v="34.281649999999999"/>
    <x v="6"/>
    <n v="74.333299999999994"/>
    <x v="1"/>
    <n v="10.042161"/>
    <x v="0"/>
    <n v="784"/>
    <n v="3845"/>
    <n v="4629"/>
  </r>
  <r>
    <n v="188"/>
    <d v="2018-07-07T00:00:00"/>
    <x v="2"/>
    <n v="2018"/>
    <x v="6"/>
    <x v="0"/>
    <x v="5"/>
    <x v="1"/>
    <x v="1"/>
    <n v="30.75"/>
    <n v="34.34355"/>
    <x v="6"/>
    <n v="65.125"/>
    <x v="1"/>
    <n v="10.666399999999999"/>
    <x v="0"/>
    <n v="754"/>
    <n v="3838"/>
    <n v="4592"/>
  </r>
  <r>
    <n v="189"/>
    <d v="2018-08-07T00:00:00"/>
    <x v="2"/>
    <n v="2018"/>
    <x v="6"/>
    <x v="0"/>
    <x v="6"/>
    <x v="1"/>
    <x v="0"/>
    <n v="29.075847"/>
    <n v="33.524149999999999"/>
    <x v="6"/>
    <n v="75.791700000000006"/>
    <x v="1"/>
    <n v="15.083643"/>
    <x v="1"/>
    <n v="692"/>
    <n v="3348"/>
    <n v="4040"/>
  </r>
  <r>
    <n v="190"/>
    <d v="2018-09-07T00:00:00"/>
    <x v="2"/>
    <n v="2018"/>
    <x v="6"/>
    <x v="0"/>
    <x v="0"/>
    <x v="0"/>
    <x v="1"/>
    <n v="30.066652999999999"/>
    <n v="33.207900000000002"/>
    <x v="6"/>
    <n v="60.916699999999999"/>
    <x v="1"/>
    <n v="11.250104"/>
    <x v="0"/>
    <n v="1988"/>
    <n v="3348"/>
    <n v="5336"/>
  </r>
  <r>
    <n v="191"/>
    <d v="2018-10-07T00:00:00"/>
    <x v="2"/>
    <n v="2018"/>
    <x v="6"/>
    <x v="0"/>
    <x v="1"/>
    <x v="0"/>
    <x v="1"/>
    <n v="30.647500000000001"/>
    <n v="34.501249999999999"/>
    <x v="6"/>
    <n v="57.833300000000001"/>
    <x v="2"/>
    <n v="12.292557"/>
    <x v="0"/>
    <n v="1743"/>
    <n v="3138"/>
    <n v="4881"/>
  </r>
  <r>
    <n v="192"/>
    <d v="2018-11-07T00:00:00"/>
    <x v="2"/>
    <n v="2018"/>
    <x v="6"/>
    <x v="0"/>
    <x v="2"/>
    <x v="1"/>
    <x v="1"/>
    <n v="31.262499999999999"/>
    <n v="36.490200000000002"/>
    <x v="7"/>
    <n v="63.583300000000001"/>
    <x v="1"/>
    <n v="18.916578999999999"/>
    <x v="1"/>
    <n v="723"/>
    <n v="3363"/>
    <n v="4086"/>
  </r>
  <r>
    <n v="193"/>
    <d v="2018-12-07T00:00:00"/>
    <x v="2"/>
    <n v="2018"/>
    <x v="6"/>
    <x v="0"/>
    <x v="3"/>
    <x v="1"/>
    <x v="1"/>
    <n v="32.560847000000003"/>
    <n v="36.963749999999997"/>
    <x v="7"/>
    <n v="55.916699999999999"/>
    <x v="2"/>
    <n v="13.417018000000001"/>
    <x v="0"/>
    <n v="662"/>
    <n v="3596"/>
    <n v="4258"/>
  </r>
  <r>
    <n v="194"/>
    <s v="13/07/2018"/>
    <x v="2"/>
    <n v="2018"/>
    <x v="6"/>
    <x v="0"/>
    <x v="4"/>
    <x v="1"/>
    <x v="1"/>
    <n v="30.613347000000001"/>
    <n v="34.470199999999998"/>
    <x v="6"/>
    <n v="63.166699999999999"/>
    <x v="1"/>
    <n v="9.7909109999999995"/>
    <x v="2"/>
    <n v="748"/>
    <n v="3594"/>
    <n v="4342"/>
  </r>
  <r>
    <n v="195"/>
    <s v="14/07/2018"/>
    <x v="2"/>
    <n v="2018"/>
    <x v="6"/>
    <x v="0"/>
    <x v="5"/>
    <x v="1"/>
    <x v="1"/>
    <n v="27.914152999999999"/>
    <n v="31.755199999999999"/>
    <x v="6"/>
    <n v="47.625"/>
    <x v="2"/>
    <n v="16.124689"/>
    <x v="1"/>
    <n v="888"/>
    <n v="4196"/>
    <n v="5084"/>
  </r>
  <r>
    <n v="196"/>
    <s v="15/07/2018"/>
    <x v="2"/>
    <n v="2018"/>
    <x v="6"/>
    <x v="0"/>
    <x v="6"/>
    <x v="1"/>
    <x v="1"/>
    <n v="27.196653000000001"/>
    <n v="31.21855"/>
    <x v="6"/>
    <n v="59.125"/>
    <x v="2"/>
    <n v="12.249810999999999"/>
    <x v="0"/>
    <n v="1318"/>
    <n v="4220"/>
    <n v="5538"/>
  </r>
  <r>
    <n v="197"/>
    <s v="16/07/2018"/>
    <x v="2"/>
    <n v="2018"/>
    <x v="6"/>
    <x v="0"/>
    <x v="0"/>
    <x v="0"/>
    <x v="1"/>
    <n v="28.153347"/>
    <n v="31.913150000000002"/>
    <x v="6"/>
    <n v="58.5"/>
    <x v="2"/>
    <n v="13.958914"/>
    <x v="0"/>
    <n v="2418"/>
    <n v="3505"/>
    <n v="5923"/>
  </r>
  <r>
    <n v="198"/>
    <s v="17/07/2018"/>
    <x v="2"/>
    <n v="2018"/>
    <x v="6"/>
    <x v="0"/>
    <x v="1"/>
    <x v="0"/>
    <x v="1"/>
    <n v="29.485847"/>
    <n v="33.49165"/>
    <x v="6"/>
    <n v="60.416699999999999"/>
    <x v="1"/>
    <n v="16.417211000000002"/>
    <x v="1"/>
    <n v="2006"/>
    <n v="3296"/>
    <n v="5302"/>
  </r>
  <r>
    <n v="199"/>
    <s v="18/07/2018"/>
    <x v="2"/>
    <n v="2018"/>
    <x v="6"/>
    <x v="0"/>
    <x v="2"/>
    <x v="1"/>
    <x v="1"/>
    <n v="30.613347000000001"/>
    <n v="35.196249999999999"/>
    <x v="7"/>
    <n v="65.125"/>
    <x v="1"/>
    <n v="14.458868000000001"/>
    <x v="0"/>
    <n v="841"/>
    <n v="3617"/>
    <n v="4458"/>
  </r>
  <r>
    <n v="200"/>
    <s v="19/07/2018"/>
    <x v="2"/>
    <n v="2018"/>
    <x v="6"/>
    <x v="0"/>
    <x v="3"/>
    <x v="1"/>
    <x v="1"/>
    <n v="31.843347000000001"/>
    <n v="37.373950000000001"/>
    <x v="7"/>
    <n v="65.041700000000006"/>
    <x v="1"/>
    <n v="8.7501999999999995"/>
    <x v="2"/>
    <n v="752"/>
    <n v="3789"/>
    <n v="4541"/>
  </r>
  <r>
    <n v="201"/>
    <s v="20/07/2018"/>
    <x v="2"/>
    <n v="2018"/>
    <x v="6"/>
    <x v="0"/>
    <x v="4"/>
    <x v="1"/>
    <x v="1"/>
    <n v="31.501653000000001"/>
    <n v="37.342500000000001"/>
    <x v="7"/>
    <n v="70.708299999999994"/>
    <x v="1"/>
    <n v="7.6257390000000003"/>
    <x v="2"/>
    <n v="644"/>
    <n v="3688"/>
    <n v="4332"/>
  </r>
  <r>
    <n v="202"/>
    <s v="21/07/2018"/>
    <x v="2"/>
    <n v="2018"/>
    <x v="6"/>
    <x v="0"/>
    <x v="5"/>
    <x v="1"/>
    <x v="0"/>
    <n v="33.414999999999999"/>
    <n v="41.318550000000002"/>
    <x v="8"/>
    <n v="69.125"/>
    <x v="1"/>
    <n v="14.875406999999999"/>
    <x v="0"/>
    <n v="632"/>
    <n v="3152"/>
    <n v="3784"/>
  </r>
  <r>
    <n v="203"/>
    <s v="22/07/2018"/>
    <x v="2"/>
    <n v="2018"/>
    <x v="6"/>
    <x v="0"/>
    <x v="6"/>
    <x v="1"/>
    <x v="1"/>
    <n v="34.781652999999999"/>
    <n v="42.044800000000002"/>
    <x v="8"/>
    <n v="58.041699999999999"/>
    <x v="2"/>
    <n v="8.9177"/>
    <x v="2"/>
    <n v="562"/>
    <n v="2825"/>
    <n v="3387"/>
  </r>
  <r>
    <n v="204"/>
    <s v="23/07/2018"/>
    <x v="2"/>
    <n v="2018"/>
    <x v="6"/>
    <x v="0"/>
    <x v="0"/>
    <x v="0"/>
    <x v="1"/>
    <n v="34.815846999999998"/>
    <n v="40.214350000000003"/>
    <x v="8"/>
    <n v="50"/>
    <x v="2"/>
    <n v="8.7918070000000004"/>
    <x v="2"/>
    <n v="987"/>
    <n v="2298"/>
    <n v="3285"/>
  </r>
  <r>
    <n v="205"/>
    <s v="24/07/2018"/>
    <x v="2"/>
    <n v="2018"/>
    <x v="6"/>
    <x v="0"/>
    <x v="1"/>
    <x v="0"/>
    <x v="1"/>
    <n v="34.03"/>
    <n v="39.74145"/>
    <x v="7"/>
    <n v="55.083300000000001"/>
    <x v="2"/>
    <n v="11.334457"/>
    <x v="0"/>
    <n v="1050"/>
    <n v="2556"/>
    <n v="3606"/>
  </r>
  <r>
    <n v="206"/>
    <s v="25/07/2018"/>
    <x v="2"/>
    <n v="2018"/>
    <x v="6"/>
    <x v="0"/>
    <x v="2"/>
    <x v="1"/>
    <x v="1"/>
    <n v="30.476652999999999"/>
    <n v="36.047899999999998"/>
    <x v="7"/>
    <n v="75.708299999999994"/>
    <x v="1"/>
    <n v="6.0841561000000004"/>
    <x v="2"/>
    <n v="568"/>
    <n v="3272"/>
    <n v="3840"/>
  </r>
  <r>
    <n v="207"/>
    <s v="26/07/2018"/>
    <x v="2"/>
    <n v="2018"/>
    <x v="6"/>
    <x v="0"/>
    <x v="3"/>
    <x v="1"/>
    <x v="1"/>
    <n v="31.638347"/>
    <n v="34.848950000000002"/>
    <x v="6"/>
    <n v="54.083300000000001"/>
    <x v="2"/>
    <n v="13.417286000000001"/>
    <x v="0"/>
    <n v="750"/>
    <n v="3840"/>
    <n v="4590"/>
  </r>
  <r>
    <n v="208"/>
    <s v="27/07/2018"/>
    <x v="2"/>
    <n v="2018"/>
    <x v="6"/>
    <x v="0"/>
    <x v="4"/>
    <x v="1"/>
    <x v="1"/>
    <n v="31.774999999999999"/>
    <n v="34.533349999999999"/>
    <x v="6"/>
    <n v="40.291699999999999"/>
    <x v="2"/>
    <n v="12.292021"/>
    <x v="0"/>
    <n v="755"/>
    <n v="3901"/>
    <n v="4656"/>
  </r>
  <r>
    <n v="209"/>
    <s v="28/07/2018"/>
    <x v="2"/>
    <n v="2018"/>
    <x v="6"/>
    <x v="0"/>
    <x v="5"/>
    <x v="1"/>
    <x v="1"/>
    <n v="31.945847000000001"/>
    <n v="36.994999999999997"/>
    <x v="7"/>
    <n v="58.333300000000001"/>
    <x v="2"/>
    <n v="11.958093"/>
    <x v="0"/>
    <n v="606"/>
    <n v="3784"/>
    <n v="4390"/>
  </r>
  <r>
    <n v="210"/>
    <s v="29/07/2018"/>
    <x v="2"/>
    <n v="2018"/>
    <x v="6"/>
    <x v="0"/>
    <x v="6"/>
    <x v="1"/>
    <x v="1"/>
    <n v="34.371653000000002"/>
    <n v="39.298349999999999"/>
    <x v="7"/>
    <n v="54.25"/>
    <x v="2"/>
    <n v="11.667246"/>
    <x v="0"/>
    <n v="670"/>
    <n v="3176"/>
    <n v="3846"/>
  </r>
  <r>
    <n v="211"/>
    <s v="30/07/2018"/>
    <x v="2"/>
    <n v="2018"/>
    <x v="6"/>
    <x v="0"/>
    <x v="0"/>
    <x v="0"/>
    <x v="1"/>
    <n v="32.970846999999999"/>
    <n v="36.426850000000002"/>
    <x v="7"/>
    <n v="46.583300000000001"/>
    <x v="2"/>
    <n v="11.291979"/>
    <x v="0"/>
    <n v="1559"/>
    <n v="2916"/>
    <n v="4475"/>
  </r>
  <r>
    <n v="212"/>
    <s v="31/07/2018"/>
    <x v="2"/>
    <n v="2018"/>
    <x v="6"/>
    <x v="0"/>
    <x v="1"/>
    <x v="0"/>
    <x v="1"/>
    <n v="33.039152999999999"/>
    <n v="36.489800000000002"/>
    <x v="7"/>
    <n v="48.083300000000001"/>
    <x v="2"/>
    <n v="11.042471000000001"/>
    <x v="0"/>
    <n v="1524"/>
    <n v="2778"/>
    <n v="4302"/>
  </r>
  <r>
    <n v="213"/>
    <d v="2018-01-08T00:00:00"/>
    <x v="2"/>
    <n v="2018"/>
    <x v="7"/>
    <x v="0"/>
    <x v="2"/>
    <x v="1"/>
    <x v="1"/>
    <n v="31.638347"/>
    <n v="35.1646"/>
    <x v="7"/>
    <n v="55.083300000000001"/>
    <x v="2"/>
    <n v="10.500038999999999"/>
    <x v="0"/>
    <n v="729"/>
    <n v="3537"/>
    <n v="4266"/>
  </r>
  <r>
    <n v="214"/>
    <d v="2018-02-08T00:00:00"/>
    <x v="2"/>
    <n v="2018"/>
    <x v="7"/>
    <x v="0"/>
    <x v="3"/>
    <x v="1"/>
    <x v="1"/>
    <n v="32.116652999999999"/>
    <n v="35.353549999999998"/>
    <x v="7"/>
    <n v="49.125"/>
    <x v="2"/>
    <n v="13.79195"/>
    <x v="0"/>
    <n v="801"/>
    <n v="4044"/>
    <n v="4845"/>
  </r>
  <r>
    <n v="215"/>
    <d v="2018-03-08T00:00:00"/>
    <x v="2"/>
    <n v="2018"/>
    <x v="7"/>
    <x v="0"/>
    <x v="4"/>
    <x v="1"/>
    <x v="0"/>
    <n v="29.998346999999999"/>
    <n v="33.996850000000002"/>
    <x v="6"/>
    <n v="65.75"/>
    <x v="1"/>
    <n v="9.0840610000000002"/>
    <x v="2"/>
    <n v="467"/>
    <n v="3107"/>
    <n v="3574"/>
  </r>
  <r>
    <n v="216"/>
    <d v="2018-04-08T00:00:00"/>
    <x v="2"/>
    <n v="2018"/>
    <x v="7"/>
    <x v="0"/>
    <x v="5"/>
    <x v="1"/>
    <x v="0"/>
    <n v="29.11"/>
    <n v="33.239400000000003"/>
    <x v="6"/>
    <n v="75.75"/>
    <x v="1"/>
    <n v="13.20905"/>
    <x v="0"/>
    <n v="799"/>
    <n v="3777"/>
    <n v="4576"/>
  </r>
  <r>
    <n v="217"/>
    <d v="2018-05-08T00:00:00"/>
    <x v="2"/>
    <n v="2018"/>
    <x v="7"/>
    <x v="0"/>
    <x v="6"/>
    <x v="1"/>
    <x v="1"/>
    <n v="29.144152999999999"/>
    <n v="32.82835"/>
    <x v="6"/>
    <n v="63.083300000000001"/>
    <x v="1"/>
    <n v="12.374632"/>
    <x v="0"/>
    <n v="1023"/>
    <n v="3843"/>
    <n v="4866"/>
  </r>
  <r>
    <n v="218"/>
    <d v="2018-06-08T00:00:00"/>
    <x v="2"/>
    <n v="2018"/>
    <x v="7"/>
    <x v="0"/>
    <x v="0"/>
    <x v="0"/>
    <x v="0"/>
    <n v="29.383347000000001"/>
    <n v="33.807699999999997"/>
    <x v="6"/>
    <n v="75.5"/>
    <x v="1"/>
    <n v="15.29275"/>
    <x v="1"/>
    <n v="1521"/>
    <n v="2773"/>
    <n v="4294"/>
  </r>
  <r>
    <n v="219"/>
    <d v="2018-07-08T00:00:00"/>
    <x v="2"/>
    <n v="2018"/>
    <x v="7"/>
    <x v="0"/>
    <x v="1"/>
    <x v="0"/>
    <x v="1"/>
    <n v="30.442499999999999"/>
    <n v="35.764600000000002"/>
    <x v="7"/>
    <n v="75.291700000000006"/>
    <x v="1"/>
    <n v="13.499629000000001"/>
    <x v="0"/>
    <n v="1298"/>
    <n v="2487"/>
    <n v="3785"/>
  </r>
  <r>
    <n v="220"/>
    <d v="2018-08-08T00:00:00"/>
    <x v="2"/>
    <n v="2018"/>
    <x v="7"/>
    <x v="0"/>
    <x v="2"/>
    <x v="1"/>
    <x v="1"/>
    <n v="31.364999999999998"/>
    <n v="35.164149999999999"/>
    <x v="7"/>
    <n v="59.208300000000001"/>
    <x v="2"/>
    <n v="12.875724999999999"/>
    <x v="0"/>
    <n v="846"/>
    <n v="3480"/>
    <n v="4326"/>
  </r>
  <r>
    <n v="221"/>
    <d v="2018-09-08T00:00:00"/>
    <x v="2"/>
    <n v="2018"/>
    <x v="7"/>
    <x v="0"/>
    <x v="3"/>
    <x v="1"/>
    <x v="1"/>
    <n v="31.774999999999999"/>
    <n v="36.206049999999998"/>
    <x v="7"/>
    <n v="57.041699999999999"/>
    <x v="2"/>
    <n v="10.125107"/>
    <x v="0"/>
    <n v="907"/>
    <n v="3695"/>
    <n v="4602"/>
  </r>
  <r>
    <n v="222"/>
    <d v="2018-10-08T00:00:00"/>
    <x v="2"/>
    <n v="2018"/>
    <x v="7"/>
    <x v="0"/>
    <x v="4"/>
    <x v="1"/>
    <x v="1"/>
    <n v="31.433347000000001"/>
    <n v="34.24915"/>
    <x v="6"/>
    <n v="42.416699999999999"/>
    <x v="2"/>
    <n v="13.417286000000001"/>
    <x v="0"/>
    <n v="884"/>
    <n v="3896"/>
    <n v="4780"/>
  </r>
  <r>
    <n v="223"/>
    <d v="2018-11-08T00:00:00"/>
    <x v="2"/>
    <n v="2018"/>
    <x v="7"/>
    <x v="0"/>
    <x v="5"/>
    <x v="1"/>
    <x v="1"/>
    <n v="29.4175"/>
    <n v="32.576050000000002"/>
    <x v="6"/>
    <n v="42.375"/>
    <x v="2"/>
    <n v="11.041332000000001"/>
    <x v="0"/>
    <n v="812"/>
    <n v="3980"/>
    <n v="4792"/>
  </r>
  <r>
    <n v="224"/>
    <d v="2018-12-08T00:00:00"/>
    <x v="2"/>
    <n v="2018"/>
    <x v="7"/>
    <x v="0"/>
    <x v="6"/>
    <x v="1"/>
    <x v="1"/>
    <n v="29.041653"/>
    <n v="32.702100000000002"/>
    <x v="6"/>
    <n v="41.5"/>
    <x v="2"/>
    <n v="8.4166070000000008"/>
    <x v="2"/>
    <n v="1051"/>
    <n v="3854"/>
    <n v="4905"/>
  </r>
  <r>
    <n v="225"/>
    <s v="13/08/2018"/>
    <x v="2"/>
    <n v="2018"/>
    <x v="7"/>
    <x v="0"/>
    <x v="0"/>
    <x v="0"/>
    <x v="0"/>
    <n v="28.119153000000001"/>
    <n v="32.292900000000003"/>
    <x v="6"/>
    <n v="72.958299999999994"/>
    <x v="1"/>
    <n v="14.167418"/>
    <x v="0"/>
    <n v="1504"/>
    <n v="2646"/>
    <n v="4150"/>
  </r>
  <r>
    <n v="226"/>
    <s v="14/08/2018"/>
    <x v="2"/>
    <n v="2018"/>
    <x v="7"/>
    <x v="0"/>
    <x v="1"/>
    <x v="0"/>
    <x v="0"/>
    <n v="27.743347"/>
    <n v="31.2194"/>
    <x v="6"/>
    <n v="81.75"/>
    <x v="0"/>
    <n v="14.916411"/>
    <x v="0"/>
    <n v="1338"/>
    <n v="2482"/>
    <n v="3820"/>
  </r>
  <r>
    <n v="227"/>
    <s v="15/08/2018"/>
    <x v="2"/>
    <n v="2018"/>
    <x v="7"/>
    <x v="0"/>
    <x v="2"/>
    <x v="1"/>
    <x v="1"/>
    <n v="27.299153"/>
    <n v="30.808350000000001"/>
    <x v="6"/>
    <n v="71.208299999999994"/>
    <x v="1"/>
    <n v="13.999917999999999"/>
    <x v="0"/>
    <n v="775"/>
    <n v="3563"/>
    <n v="4338"/>
  </r>
  <r>
    <n v="228"/>
    <s v="16/08/2018"/>
    <x v="2"/>
    <n v="2018"/>
    <x v="7"/>
    <x v="0"/>
    <x v="3"/>
    <x v="1"/>
    <x v="1"/>
    <n v="28.734152999999999"/>
    <n v="32.291849999999997"/>
    <x v="6"/>
    <n v="57.833300000000001"/>
    <x v="2"/>
    <n v="15.834042999999999"/>
    <x v="1"/>
    <n v="721"/>
    <n v="4004"/>
    <n v="4725"/>
  </r>
  <r>
    <n v="229"/>
    <s v="17/08/2018"/>
    <x v="2"/>
    <n v="2018"/>
    <x v="7"/>
    <x v="0"/>
    <x v="4"/>
    <x v="1"/>
    <x v="1"/>
    <n v="29.656652999999999"/>
    <n v="33.333550000000002"/>
    <x v="6"/>
    <n v="57.541699999999999"/>
    <x v="2"/>
    <n v="9.6256889999999995"/>
    <x v="2"/>
    <n v="668"/>
    <n v="4026"/>
    <n v="4694"/>
  </r>
  <r>
    <n v="230"/>
    <s v="18/08/2018"/>
    <x v="2"/>
    <n v="2018"/>
    <x v="7"/>
    <x v="0"/>
    <x v="5"/>
    <x v="1"/>
    <x v="1"/>
    <n v="29.178346999999999"/>
    <n v="33.112900000000003"/>
    <x v="6"/>
    <n v="65.458299999999994"/>
    <x v="1"/>
    <n v="15.624936"/>
    <x v="1"/>
    <n v="639"/>
    <n v="3166"/>
    <n v="3805"/>
  </r>
  <r>
    <n v="231"/>
    <s v="19/08/2018"/>
    <x v="2"/>
    <n v="2018"/>
    <x v="7"/>
    <x v="0"/>
    <x v="6"/>
    <x v="1"/>
    <x v="0"/>
    <n v="28.085000000000001"/>
    <n v="31.661049999999999"/>
    <x v="6"/>
    <n v="72.291700000000006"/>
    <x v="1"/>
    <n v="9.3336360000000003"/>
    <x v="2"/>
    <n v="797"/>
    <n v="3356"/>
    <n v="4153"/>
  </r>
  <r>
    <n v="232"/>
    <s v="20/08/2018"/>
    <x v="2"/>
    <n v="2018"/>
    <x v="7"/>
    <x v="0"/>
    <x v="0"/>
    <x v="0"/>
    <x v="1"/>
    <n v="28.5975"/>
    <n v="32.449800000000003"/>
    <x v="6"/>
    <n v="67.416700000000006"/>
    <x v="1"/>
    <n v="6.9992890000000001"/>
    <x v="2"/>
    <n v="1914"/>
    <n v="3277"/>
    <n v="5191"/>
  </r>
  <r>
    <n v="233"/>
    <s v="21/08/2018"/>
    <x v="2"/>
    <n v="2018"/>
    <x v="7"/>
    <x v="0"/>
    <x v="1"/>
    <x v="0"/>
    <x v="1"/>
    <n v="29.144152999999999"/>
    <n v="33.776249999999997"/>
    <x v="6"/>
    <n v="77"/>
    <x v="1"/>
    <n v="16.666518"/>
    <x v="1"/>
    <n v="1249"/>
    <n v="2624"/>
    <n v="3873"/>
  </r>
  <r>
    <n v="234"/>
    <s v="22/08/2018"/>
    <x v="2"/>
    <n v="2018"/>
    <x v="7"/>
    <x v="0"/>
    <x v="2"/>
    <x v="1"/>
    <x v="1"/>
    <n v="28.358346999999998"/>
    <n v="31.912700000000001"/>
    <x v="6"/>
    <n v="47"/>
    <x v="2"/>
    <n v="18.542249999999999"/>
    <x v="1"/>
    <n v="833"/>
    <n v="3925"/>
    <n v="4758"/>
  </r>
  <r>
    <n v="235"/>
    <s v="23/08/2018"/>
    <x v="2"/>
    <n v="2018"/>
    <x v="7"/>
    <x v="0"/>
    <x v="3"/>
    <x v="1"/>
    <x v="1"/>
    <n v="26.274152999999998"/>
    <n v="30.303349999999998"/>
    <x v="6"/>
    <n v="45.541699999999999"/>
    <x v="2"/>
    <n v="9.8331210000000002"/>
    <x v="2"/>
    <n v="1281"/>
    <n v="4614"/>
    <n v="5895"/>
  </r>
  <r>
    <n v="236"/>
    <s v="24/08/2018"/>
    <x v="2"/>
    <n v="2018"/>
    <x v="7"/>
    <x v="0"/>
    <x v="4"/>
    <x v="1"/>
    <x v="1"/>
    <n v="27.606653000000001"/>
    <n v="31.534600000000001"/>
    <x v="6"/>
    <n v="60.5"/>
    <x v="1"/>
    <n v="16.958235999999999"/>
    <x v="1"/>
    <n v="949"/>
    <n v="4181"/>
    <n v="5130"/>
  </r>
  <r>
    <n v="237"/>
    <s v="25/08/2018"/>
    <x v="2"/>
    <n v="2018"/>
    <x v="7"/>
    <x v="0"/>
    <x v="5"/>
    <x v="1"/>
    <x v="0"/>
    <n v="28.050847000000001"/>
    <n v="32.292700000000004"/>
    <x v="6"/>
    <n v="77.166700000000006"/>
    <x v="1"/>
    <n v="14.125811000000001"/>
    <x v="0"/>
    <n v="435"/>
    <n v="3107"/>
    <n v="3542"/>
  </r>
  <r>
    <n v="238"/>
    <s v="26/08/2018"/>
    <x v="2"/>
    <n v="2018"/>
    <x v="7"/>
    <x v="0"/>
    <x v="6"/>
    <x v="1"/>
    <x v="1"/>
    <n v="28.7"/>
    <n v="32.986649999999997"/>
    <x v="6"/>
    <n v="76.125"/>
    <x v="1"/>
    <n v="5.6254875000000002"/>
    <x v="2"/>
    <n v="768"/>
    <n v="3893"/>
    <n v="4661"/>
  </r>
  <r>
    <n v="239"/>
    <s v="27/08/2018"/>
    <x v="2"/>
    <n v="2018"/>
    <x v="7"/>
    <x v="0"/>
    <x v="0"/>
    <x v="0"/>
    <x v="0"/>
    <n v="27.88"/>
    <n v="31.777799999999999"/>
    <x v="6"/>
    <n v="85"/>
    <x v="0"/>
    <n v="25.166339000000001"/>
    <x v="5"/>
    <n v="226"/>
    <n v="889"/>
    <n v="1115"/>
  </r>
  <r>
    <n v="240"/>
    <s v="28/08/2018"/>
    <x v="2"/>
    <n v="2018"/>
    <x v="7"/>
    <x v="0"/>
    <x v="1"/>
    <x v="0"/>
    <x v="1"/>
    <n v="28.989419000000002"/>
    <n v="32.397950000000002"/>
    <x v="6"/>
    <n v="56.176499999999997"/>
    <x v="2"/>
    <n v="20.412153"/>
    <x v="3"/>
    <n v="1415"/>
    <n v="2919"/>
    <n v="4334"/>
  </r>
  <r>
    <n v="241"/>
    <s v="29/08/2018"/>
    <x v="2"/>
    <n v="2018"/>
    <x v="7"/>
    <x v="0"/>
    <x v="2"/>
    <x v="1"/>
    <x v="1"/>
    <n v="26.103346999999999"/>
    <n v="30.3979"/>
    <x v="6"/>
    <n v="55.458300000000001"/>
    <x v="2"/>
    <n v="10.708275"/>
    <x v="0"/>
    <n v="729"/>
    <n v="3905"/>
    <n v="4634"/>
  </r>
  <r>
    <n v="242"/>
    <s v="30/08/2018"/>
    <x v="2"/>
    <n v="2018"/>
    <x v="7"/>
    <x v="0"/>
    <x v="3"/>
    <x v="1"/>
    <x v="1"/>
    <n v="26.205846999999999"/>
    <n v="29.735199999999999"/>
    <x v="5"/>
    <n v="54.833300000000001"/>
    <x v="2"/>
    <n v="8.3755360000000003"/>
    <x v="2"/>
    <n v="775"/>
    <n v="4429"/>
    <n v="5204"/>
  </r>
  <r>
    <n v="243"/>
    <s v="31/08/2018"/>
    <x v="2"/>
    <n v="2018"/>
    <x v="7"/>
    <x v="0"/>
    <x v="4"/>
    <x v="1"/>
    <x v="1"/>
    <n v="26.923347"/>
    <n v="30.556049999999999"/>
    <x v="6"/>
    <n v="59.791699999999999"/>
    <x v="2"/>
    <n v="5.5833310999999997"/>
    <x v="2"/>
    <n v="688"/>
    <n v="4370"/>
    <n v="5058"/>
  </r>
  <r>
    <n v="244"/>
    <d v="2018-01-09T00:00:00"/>
    <x v="2"/>
    <n v="2018"/>
    <x v="8"/>
    <x v="0"/>
    <x v="5"/>
    <x v="1"/>
    <x v="1"/>
    <n v="26.855"/>
    <n v="30.74605"/>
    <x v="6"/>
    <n v="63.916699999999999"/>
    <x v="1"/>
    <n v="9.5003320000000002"/>
    <x v="2"/>
    <n v="783"/>
    <n v="4332"/>
    <n v="5115"/>
  </r>
  <r>
    <n v="245"/>
    <d v="2018-02-09T00:00:00"/>
    <x v="2"/>
    <n v="2018"/>
    <x v="8"/>
    <x v="0"/>
    <x v="6"/>
    <x v="1"/>
    <x v="0"/>
    <n v="26.376653000000001"/>
    <n v="30.240400000000001"/>
    <x v="6"/>
    <n v="72.708299999999994"/>
    <x v="1"/>
    <n v="9.3752429999999993"/>
    <x v="2"/>
    <n v="875"/>
    <n v="3852"/>
    <n v="4727"/>
  </r>
  <r>
    <n v="246"/>
    <d v="2018-03-09T00:00:00"/>
    <x v="2"/>
    <n v="2018"/>
    <x v="8"/>
    <x v="0"/>
    <x v="0"/>
    <x v="0"/>
    <x v="1"/>
    <n v="27.435846999999999"/>
    <n v="31.66065"/>
    <x v="6"/>
    <n v="71.666700000000006"/>
    <x v="1"/>
    <n v="12.416774999999999"/>
    <x v="0"/>
    <n v="1935"/>
    <n v="2549"/>
    <n v="4484"/>
  </r>
  <r>
    <n v="247"/>
    <d v="2018-04-09T00:00:00"/>
    <x v="2"/>
    <n v="2018"/>
    <x v="8"/>
    <x v="0"/>
    <x v="1"/>
    <x v="0"/>
    <x v="1"/>
    <n v="29.075847"/>
    <n v="33.271450000000002"/>
    <x v="6"/>
    <n v="74.208299999999994"/>
    <x v="1"/>
    <n v="13.833289000000001"/>
    <x v="0"/>
    <n v="2521"/>
    <n v="2419"/>
    <n v="4940"/>
  </r>
  <r>
    <n v="248"/>
    <d v="2018-05-09T00:00:00"/>
    <x v="2"/>
    <n v="2018"/>
    <x v="8"/>
    <x v="1"/>
    <x v="2"/>
    <x v="0"/>
    <x v="0"/>
    <n v="27.606653000000001"/>
    <n v="31.282299999999999"/>
    <x v="6"/>
    <n v="79.041700000000006"/>
    <x v="1"/>
    <n v="14.250632"/>
    <x v="0"/>
    <n v="1236"/>
    <n v="2115"/>
    <n v="3351"/>
  </r>
  <r>
    <n v="249"/>
    <d v="2018-06-09T00:00:00"/>
    <x v="2"/>
    <n v="2018"/>
    <x v="8"/>
    <x v="0"/>
    <x v="3"/>
    <x v="1"/>
    <x v="2"/>
    <n v="22.14"/>
    <n v="25.76"/>
    <x v="5"/>
    <n v="88.695700000000002"/>
    <x v="0"/>
    <n v="23.044180999999998"/>
    <x v="3"/>
    <n v="204"/>
    <n v="2506"/>
    <n v="2710"/>
  </r>
  <r>
    <n v="250"/>
    <d v="2018-07-09T00:00:00"/>
    <x v="2"/>
    <n v="2018"/>
    <x v="8"/>
    <x v="0"/>
    <x v="4"/>
    <x v="1"/>
    <x v="2"/>
    <n v="24.565847000000002"/>
    <n v="27.211449999999999"/>
    <x v="5"/>
    <n v="91.708299999999994"/>
    <x v="0"/>
    <n v="6.5003935999999998"/>
    <x v="2"/>
    <n v="118"/>
    <n v="1878"/>
    <n v="1996"/>
  </r>
  <r>
    <n v="251"/>
    <d v="2018-08-09T00:00:00"/>
    <x v="2"/>
    <n v="2018"/>
    <x v="8"/>
    <x v="0"/>
    <x v="5"/>
    <x v="1"/>
    <x v="2"/>
    <n v="25.990432999999999"/>
    <n v="27.768049999999999"/>
    <x v="5"/>
    <n v="93.956500000000005"/>
    <x v="0"/>
    <n v="12.914116"/>
    <x v="0"/>
    <n v="153"/>
    <n v="1689"/>
    <n v="1842"/>
  </r>
  <r>
    <n v="252"/>
    <d v="2018-09-09T00:00:00"/>
    <x v="2"/>
    <n v="2018"/>
    <x v="8"/>
    <x v="0"/>
    <x v="6"/>
    <x v="1"/>
    <x v="0"/>
    <n v="26.65"/>
    <n v="28.947299999999998"/>
    <x v="5"/>
    <n v="89.791700000000006"/>
    <x v="0"/>
    <n v="8.3333929999999992"/>
    <x v="2"/>
    <n v="417"/>
    <n v="3127"/>
    <n v="3544"/>
  </r>
  <r>
    <n v="253"/>
    <d v="2018-10-09T00:00:00"/>
    <x v="2"/>
    <n v="2018"/>
    <x v="8"/>
    <x v="0"/>
    <x v="0"/>
    <x v="0"/>
    <x v="1"/>
    <n v="27.06"/>
    <n v="30.398099999999999"/>
    <x v="6"/>
    <n v="75.375"/>
    <x v="1"/>
    <n v="10.291736"/>
    <x v="0"/>
    <n v="1750"/>
    <n v="3595"/>
    <n v="5345"/>
  </r>
  <r>
    <n v="254"/>
    <d v="2018-11-09T00:00:00"/>
    <x v="2"/>
    <n v="2018"/>
    <x v="8"/>
    <x v="0"/>
    <x v="1"/>
    <x v="0"/>
    <x v="1"/>
    <n v="26.786653000000001"/>
    <n v="30.461449999999999"/>
    <x v="6"/>
    <n v="71.375"/>
    <x v="1"/>
    <n v="7.7086180000000004"/>
    <x v="2"/>
    <n v="1633"/>
    <n v="3413"/>
    <n v="5046"/>
  </r>
  <r>
    <n v="255"/>
    <d v="2018-12-09T00:00:00"/>
    <x v="2"/>
    <n v="2018"/>
    <x v="8"/>
    <x v="0"/>
    <x v="2"/>
    <x v="1"/>
    <x v="1"/>
    <n v="26.418268000000001"/>
    <n v="30.1065"/>
    <x v="6"/>
    <n v="69.217399999999998"/>
    <x v="1"/>
    <n v="5.9571709999999998"/>
    <x v="2"/>
    <n v="690"/>
    <n v="4023"/>
    <n v="4713"/>
  </r>
  <r>
    <n v="256"/>
    <s v="13/09/2018"/>
    <x v="2"/>
    <n v="2018"/>
    <x v="8"/>
    <x v="0"/>
    <x v="3"/>
    <x v="1"/>
    <x v="1"/>
    <n v="26.684152999999998"/>
    <n v="30.177700000000002"/>
    <x v="6"/>
    <n v="71.25"/>
    <x v="1"/>
    <n v="9.5008680000000005"/>
    <x v="2"/>
    <n v="701"/>
    <n v="4062"/>
    <n v="4763"/>
  </r>
  <r>
    <n v="257"/>
    <s v="14/09/2018"/>
    <x v="2"/>
    <n v="2018"/>
    <x v="8"/>
    <x v="0"/>
    <x v="4"/>
    <x v="1"/>
    <x v="1"/>
    <n v="27.606653000000001"/>
    <n v="31.344999999999999"/>
    <x v="6"/>
    <n v="69.708299999999994"/>
    <x v="1"/>
    <n v="11.209099999999999"/>
    <x v="0"/>
    <n v="647"/>
    <n v="4138"/>
    <n v="4785"/>
  </r>
  <r>
    <n v="258"/>
    <s v="15/09/2018"/>
    <x v="2"/>
    <n v="2018"/>
    <x v="8"/>
    <x v="0"/>
    <x v="5"/>
    <x v="1"/>
    <x v="0"/>
    <n v="23.677499999999998"/>
    <n v="27.68355"/>
    <x v="5"/>
    <n v="70.916700000000006"/>
    <x v="1"/>
    <n v="18.166782000000001"/>
    <x v="1"/>
    <n v="428"/>
    <n v="3231"/>
    <n v="3659"/>
  </r>
  <r>
    <n v="259"/>
    <s v="16/09/2018"/>
    <x v="2"/>
    <n v="2018"/>
    <x v="8"/>
    <x v="0"/>
    <x v="6"/>
    <x v="1"/>
    <x v="0"/>
    <n v="19.235847"/>
    <n v="23.07375"/>
    <x v="4"/>
    <n v="59.041699999999999"/>
    <x v="2"/>
    <n v="11.000261"/>
    <x v="0"/>
    <n v="742"/>
    <n v="4018"/>
    <n v="4760"/>
  </r>
  <r>
    <n v="260"/>
    <s v="17/09/2018"/>
    <x v="2"/>
    <n v="2018"/>
    <x v="8"/>
    <x v="0"/>
    <x v="0"/>
    <x v="0"/>
    <x v="0"/>
    <n v="20.158346999999999"/>
    <n v="23.925599999999999"/>
    <x v="4"/>
    <n v="71.833299999999994"/>
    <x v="1"/>
    <n v="12.708225000000001"/>
    <x v="0"/>
    <n v="1434"/>
    <n v="3077"/>
    <n v="4511"/>
  </r>
  <r>
    <n v="261"/>
    <s v="18/09/2018"/>
    <x v="2"/>
    <n v="2018"/>
    <x v="8"/>
    <x v="0"/>
    <x v="1"/>
    <x v="0"/>
    <x v="1"/>
    <n v="20.807500000000001"/>
    <n v="24.52685"/>
    <x v="4"/>
    <n v="69.5"/>
    <x v="1"/>
    <n v="11.958361"/>
    <x v="0"/>
    <n v="1353"/>
    <n v="2921"/>
    <n v="4274"/>
  </r>
  <r>
    <n v="262"/>
    <s v="19/09/2018"/>
    <x v="2"/>
    <n v="2018"/>
    <x v="8"/>
    <x v="0"/>
    <x v="2"/>
    <x v="1"/>
    <x v="0"/>
    <n v="22.515847000000001"/>
    <n v="26.483750000000001"/>
    <x v="5"/>
    <n v="69"/>
    <x v="1"/>
    <n v="10.166714000000001"/>
    <x v="0"/>
    <n v="691"/>
    <n v="3848"/>
    <n v="4539"/>
  </r>
  <r>
    <n v="263"/>
    <s v="20/09/2018"/>
    <x v="2"/>
    <n v="2018"/>
    <x v="8"/>
    <x v="0"/>
    <x v="3"/>
    <x v="1"/>
    <x v="0"/>
    <n v="23.028347"/>
    <n v="26.610849999999999"/>
    <x v="5"/>
    <n v="88.125"/>
    <x v="0"/>
    <n v="9.0419180000000008"/>
    <x v="2"/>
    <n v="438"/>
    <n v="3203"/>
    <n v="3641"/>
  </r>
  <r>
    <n v="264"/>
    <s v="21/09/2018"/>
    <x v="2"/>
    <n v="2018"/>
    <x v="8"/>
    <x v="0"/>
    <x v="4"/>
    <x v="1"/>
    <x v="0"/>
    <n v="24.395"/>
    <n v="27.52665"/>
    <x v="5"/>
    <n v="90"/>
    <x v="0"/>
    <n v="6.4590813999999996"/>
    <x v="2"/>
    <n v="539"/>
    <n v="3813"/>
    <n v="4352"/>
  </r>
  <r>
    <n v="265"/>
    <s v="22/09/2018"/>
    <x v="2"/>
    <n v="2018"/>
    <x v="8"/>
    <x v="0"/>
    <x v="5"/>
    <x v="1"/>
    <x v="0"/>
    <n v="25.761652999999999"/>
    <n v="27.748149999999999"/>
    <x v="5"/>
    <n v="90.208299999999994"/>
    <x v="0"/>
    <n v="8.5843749999999996"/>
    <x v="2"/>
    <n v="555"/>
    <n v="4240"/>
    <n v="4795"/>
  </r>
  <r>
    <n v="266"/>
    <s v="23/09/2018"/>
    <x v="3"/>
    <n v="2018"/>
    <x v="8"/>
    <x v="0"/>
    <x v="6"/>
    <x v="1"/>
    <x v="0"/>
    <n v="24.975847000000002"/>
    <n v="26.106249999999999"/>
    <x v="5"/>
    <n v="97.25"/>
    <x v="0"/>
    <n v="5.2505689000000002"/>
    <x v="2"/>
    <n v="258"/>
    <n v="2137"/>
    <n v="2395"/>
  </r>
  <r>
    <n v="267"/>
    <s v="24/09/2018"/>
    <x v="3"/>
    <n v="2018"/>
    <x v="8"/>
    <x v="0"/>
    <x v="0"/>
    <x v="0"/>
    <x v="0"/>
    <n v="24.873346999999999"/>
    <n v="28.220600000000001"/>
    <x v="5"/>
    <n v="86.25"/>
    <x v="0"/>
    <n v="5.2516810999999999"/>
    <x v="2"/>
    <n v="1776"/>
    <n v="3647"/>
    <n v="5423"/>
  </r>
  <r>
    <n v="268"/>
    <s v="25/09/2018"/>
    <x v="3"/>
    <n v="2018"/>
    <x v="8"/>
    <x v="0"/>
    <x v="1"/>
    <x v="0"/>
    <x v="0"/>
    <n v="26.000847"/>
    <n v="28.63185"/>
    <x v="5"/>
    <n v="84.5"/>
    <x v="0"/>
    <n v="3.3754064000000001"/>
    <x v="4"/>
    <n v="1544"/>
    <n v="3466"/>
    <n v="5010"/>
  </r>
  <r>
    <n v="269"/>
    <s v="26/09/2018"/>
    <x v="3"/>
    <n v="2018"/>
    <x v="8"/>
    <x v="0"/>
    <x v="2"/>
    <x v="1"/>
    <x v="0"/>
    <n v="26.615846999999999"/>
    <n v="29.452100000000002"/>
    <x v="5"/>
    <n v="84.833299999999994"/>
    <x v="0"/>
    <n v="7.4169"/>
    <x v="2"/>
    <n v="684"/>
    <n v="3946"/>
    <n v="4630"/>
  </r>
  <r>
    <n v="270"/>
    <s v="27/09/2018"/>
    <x v="3"/>
    <n v="2018"/>
    <x v="8"/>
    <x v="0"/>
    <x v="3"/>
    <x v="1"/>
    <x v="0"/>
    <n v="26.103346999999999"/>
    <n v="28.72625"/>
    <x v="5"/>
    <n v="88.541700000000006"/>
    <x v="0"/>
    <n v="7.9174569999999997"/>
    <x v="2"/>
    <n v="477"/>
    <n v="3643"/>
    <n v="4120"/>
  </r>
  <r>
    <n v="271"/>
    <s v="28/09/2018"/>
    <x v="3"/>
    <n v="2018"/>
    <x v="8"/>
    <x v="0"/>
    <x v="4"/>
    <x v="1"/>
    <x v="0"/>
    <n v="26.035"/>
    <n v="28.757899999999999"/>
    <x v="5"/>
    <n v="84.875"/>
    <x v="0"/>
    <n v="9.9581429999999997"/>
    <x v="2"/>
    <n v="480"/>
    <n v="3427"/>
    <n v="3907"/>
  </r>
  <r>
    <n v="272"/>
    <s v="29/09/2018"/>
    <x v="3"/>
    <n v="2018"/>
    <x v="8"/>
    <x v="0"/>
    <x v="5"/>
    <x v="1"/>
    <x v="1"/>
    <n v="25.283346999999999"/>
    <n v="28.7256"/>
    <x v="5"/>
    <n v="69.916700000000006"/>
    <x v="1"/>
    <n v="11.583161"/>
    <x v="0"/>
    <n v="653"/>
    <n v="4186"/>
    <n v="4839"/>
  </r>
  <r>
    <n v="273"/>
    <s v="30/09/2018"/>
    <x v="3"/>
    <n v="2018"/>
    <x v="8"/>
    <x v="0"/>
    <x v="6"/>
    <x v="1"/>
    <x v="1"/>
    <n v="23.130846999999999"/>
    <n v="27.24145"/>
    <x v="5"/>
    <n v="64.75"/>
    <x v="1"/>
    <n v="13.833824999999999"/>
    <x v="0"/>
    <n v="830"/>
    <n v="4372"/>
    <n v="5202"/>
  </r>
  <r>
    <n v="274"/>
    <d v="2018-01-10T00:00:00"/>
    <x v="3"/>
    <n v="2018"/>
    <x v="9"/>
    <x v="0"/>
    <x v="0"/>
    <x v="0"/>
    <x v="0"/>
    <n v="16.809999999999999"/>
    <n v="20.643149999999999"/>
    <x v="4"/>
    <n v="75.375"/>
    <x v="1"/>
    <n v="19.583832000000001"/>
    <x v="1"/>
    <n v="480"/>
    <n v="1949"/>
    <n v="2429"/>
  </r>
  <r>
    <n v="275"/>
    <d v="2018-02-10T00:00:00"/>
    <x v="3"/>
    <n v="2018"/>
    <x v="9"/>
    <x v="0"/>
    <x v="1"/>
    <x v="0"/>
    <x v="0"/>
    <n v="14.623347000000001"/>
    <n v="17.26585"/>
    <x v="0"/>
    <n v="79.166700000000006"/>
    <x v="1"/>
    <n v="14.874871000000001"/>
    <x v="0"/>
    <n v="616"/>
    <n v="2302"/>
    <n v="2918"/>
  </r>
  <r>
    <n v="276"/>
    <d v="2018-03-10T00:00:00"/>
    <x v="3"/>
    <n v="2018"/>
    <x v="9"/>
    <x v="0"/>
    <x v="2"/>
    <x v="1"/>
    <x v="0"/>
    <n v="15.750847"/>
    <n v="19.6023"/>
    <x v="0"/>
    <n v="76.083299999999994"/>
    <x v="1"/>
    <n v="5.5841685999999999"/>
    <x v="2"/>
    <n v="330"/>
    <n v="3240"/>
    <n v="3570"/>
  </r>
  <r>
    <n v="277"/>
    <d v="2018-04-10T00:00:00"/>
    <x v="3"/>
    <n v="2018"/>
    <x v="9"/>
    <x v="0"/>
    <x v="3"/>
    <x v="1"/>
    <x v="1"/>
    <n v="19.850847000000002"/>
    <n v="23.642900000000001"/>
    <x v="4"/>
    <n v="71"/>
    <x v="1"/>
    <n v="13.792218"/>
    <x v="0"/>
    <n v="486"/>
    <n v="3970"/>
    <n v="4456"/>
  </r>
  <r>
    <n v="278"/>
    <d v="2018-05-10T00:00:00"/>
    <x v="3"/>
    <n v="2018"/>
    <x v="9"/>
    <x v="0"/>
    <x v="4"/>
    <x v="1"/>
    <x v="1"/>
    <n v="22.071653000000001"/>
    <n v="26.3569"/>
    <x v="5"/>
    <n v="64.791700000000006"/>
    <x v="1"/>
    <n v="11.87575"/>
    <x v="0"/>
    <n v="559"/>
    <n v="4267"/>
    <n v="4826"/>
  </r>
  <r>
    <n v="279"/>
    <d v="2018-06-10T00:00:00"/>
    <x v="3"/>
    <n v="2018"/>
    <x v="9"/>
    <x v="0"/>
    <x v="5"/>
    <x v="1"/>
    <x v="1"/>
    <n v="20.260846999999998"/>
    <n v="24.021249999999998"/>
    <x v="4"/>
    <n v="62.083300000000001"/>
    <x v="1"/>
    <n v="9.0419180000000008"/>
    <x v="2"/>
    <n v="639"/>
    <n v="4126"/>
    <n v="4765"/>
  </r>
  <r>
    <n v="280"/>
    <d v="2018-07-10T00:00:00"/>
    <x v="3"/>
    <n v="2018"/>
    <x v="9"/>
    <x v="0"/>
    <x v="6"/>
    <x v="1"/>
    <x v="1"/>
    <n v="20.944153"/>
    <n v="25.220199999999998"/>
    <x v="5"/>
    <n v="68.416700000000006"/>
    <x v="1"/>
    <n v="1.5002439000000001"/>
    <x v="4"/>
    <n v="949"/>
    <n v="4036"/>
    <n v="4985"/>
  </r>
  <r>
    <n v="281"/>
    <d v="2018-08-10T00:00:00"/>
    <x v="3"/>
    <n v="2018"/>
    <x v="9"/>
    <x v="0"/>
    <x v="0"/>
    <x v="0"/>
    <x v="1"/>
    <n v="21.388347"/>
    <n v="25.662099999999999"/>
    <x v="5"/>
    <n v="70.125"/>
    <x v="1"/>
    <n v="3.0420813999999998"/>
    <x v="4"/>
    <n v="2235"/>
    <n v="3174"/>
    <n v="5409"/>
  </r>
  <r>
    <n v="282"/>
    <d v="2018-09-10T00:00:00"/>
    <x v="3"/>
    <n v="2018"/>
    <x v="9"/>
    <x v="0"/>
    <x v="1"/>
    <x v="0"/>
    <x v="1"/>
    <n v="22.174153"/>
    <n v="26.199149999999999"/>
    <x v="5"/>
    <n v="72.75"/>
    <x v="1"/>
    <n v="4.25115"/>
    <x v="4"/>
    <n v="2397"/>
    <n v="3114"/>
    <n v="5511"/>
  </r>
  <r>
    <n v="283"/>
    <d v="2018-10-10T00:00:00"/>
    <x v="3"/>
    <n v="2018"/>
    <x v="9"/>
    <x v="1"/>
    <x v="2"/>
    <x v="0"/>
    <x v="1"/>
    <n v="23.404153000000001"/>
    <n v="27.146249999999998"/>
    <x v="5"/>
    <n v="73.375"/>
    <x v="1"/>
    <n v="2.8343813999999998"/>
    <x v="4"/>
    <n v="1514"/>
    <n v="3603"/>
    <n v="5117"/>
  </r>
  <r>
    <n v="284"/>
    <d v="2018-11-10T00:00:00"/>
    <x v="3"/>
    <n v="2018"/>
    <x v="9"/>
    <x v="0"/>
    <x v="3"/>
    <x v="1"/>
    <x v="0"/>
    <n v="23.233346999999998"/>
    <n v="27.3048"/>
    <x v="5"/>
    <n v="80.875"/>
    <x v="0"/>
    <n v="9.5838140000000003"/>
    <x v="2"/>
    <n v="667"/>
    <n v="3896"/>
    <n v="4563"/>
  </r>
  <r>
    <n v="285"/>
    <d v="2018-12-10T00:00:00"/>
    <x v="3"/>
    <n v="2018"/>
    <x v="9"/>
    <x v="0"/>
    <x v="4"/>
    <x v="1"/>
    <x v="2"/>
    <n v="22.276653"/>
    <n v="25.885850000000001"/>
    <x v="5"/>
    <n v="90.625"/>
    <x v="0"/>
    <n v="16.626049999999999"/>
    <x v="1"/>
    <n v="217"/>
    <n v="2199"/>
    <n v="2416"/>
  </r>
  <r>
    <n v="286"/>
    <s v="13/10/2018"/>
    <x v="3"/>
    <n v="2018"/>
    <x v="9"/>
    <x v="0"/>
    <x v="5"/>
    <x v="1"/>
    <x v="0"/>
    <n v="24.155847000000001"/>
    <n v="27.590199999999999"/>
    <x v="5"/>
    <n v="89.666700000000006"/>
    <x v="0"/>
    <n v="9.4997290000000003"/>
    <x v="2"/>
    <n v="290"/>
    <n v="2623"/>
    <n v="2913"/>
  </r>
  <r>
    <n v="287"/>
    <s v="14/10/2018"/>
    <x v="3"/>
    <n v="2018"/>
    <x v="9"/>
    <x v="0"/>
    <x v="6"/>
    <x v="1"/>
    <x v="0"/>
    <n v="22.584153000000001"/>
    <n v="26.483750000000001"/>
    <x v="5"/>
    <n v="71.625"/>
    <x v="1"/>
    <n v="15.000161"/>
    <x v="1"/>
    <n v="529"/>
    <n v="3115"/>
    <n v="3644"/>
  </r>
  <r>
    <n v="288"/>
    <s v="15/10/2018"/>
    <x v="3"/>
    <n v="2018"/>
    <x v="9"/>
    <x v="0"/>
    <x v="0"/>
    <x v="0"/>
    <x v="1"/>
    <n v="20.773347000000001"/>
    <n v="24.936250000000001"/>
    <x v="4"/>
    <n v="48.333300000000001"/>
    <x v="2"/>
    <n v="17.291561000000002"/>
    <x v="1"/>
    <n v="1899"/>
    <n v="3318"/>
    <n v="5217"/>
  </r>
  <r>
    <n v="289"/>
    <s v="16/10/2018"/>
    <x v="3"/>
    <n v="2018"/>
    <x v="9"/>
    <x v="0"/>
    <x v="1"/>
    <x v="0"/>
    <x v="1"/>
    <n v="20.978346999999999"/>
    <n v="25.157699999999998"/>
    <x v="5"/>
    <n v="48.666699999999999"/>
    <x v="2"/>
    <n v="18.875039000000001"/>
    <x v="1"/>
    <n v="1748"/>
    <n v="3293"/>
    <n v="5041"/>
  </r>
  <r>
    <n v="290"/>
    <s v="17/10/2018"/>
    <x v="3"/>
    <n v="2018"/>
    <x v="9"/>
    <x v="0"/>
    <x v="2"/>
    <x v="1"/>
    <x v="1"/>
    <n v="21.900846999999999"/>
    <n v="25.536249999999999"/>
    <x v="5"/>
    <n v="57.958300000000001"/>
    <x v="2"/>
    <n v="11.750393000000001"/>
    <x v="0"/>
    <n v="713"/>
    <n v="3857"/>
    <n v="4570"/>
  </r>
  <r>
    <n v="291"/>
    <s v="18/10/2018"/>
    <x v="3"/>
    <n v="2018"/>
    <x v="9"/>
    <x v="0"/>
    <x v="3"/>
    <x v="1"/>
    <x v="0"/>
    <n v="21.8325"/>
    <n v="26.136050000000001"/>
    <x v="5"/>
    <n v="70.166700000000006"/>
    <x v="1"/>
    <n v="7.3758290000000004"/>
    <x v="2"/>
    <n v="637"/>
    <n v="4111"/>
    <n v="4748"/>
  </r>
  <r>
    <n v="292"/>
    <s v="19/10/2018"/>
    <x v="3"/>
    <n v="2018"/>
    <x v="9"/>
    <x v="0"/>
    <x v="4"/>
    <x v="1"/>
    <x v="2"/>
    <n v="22.211299"/>
    <n v="25.692399999999999"/>
    <x v="5"/>
    <n v="89.521699999999996"/>
    <x v="0"/>
    <n v="16.303712999999998"/>
    <x v="1"/>
    <n v="254"/>
    <n v="2170"/>
    <n v="2424"/>
  </r>
  <r>
    <n v="293"/>
    <s v="20/10/2018"/>
    <x v="3"/>
    <n v="2018"/>
    <x v="9"/>
    <x v="0"/>
    <x v="5"/>
    <x v="1"/>
    <x v="1"/>
    <n v="19.509153000000001"/>
    <n v="23.326250000000002"/>
    <x v="4"/>
    <n v="63.625"/>
    <x v="1"/>
    <n v="28.292425000000001"/>
    <x v="5"/>
    <n v="471"/>
    <n v="3724"/>
    <n v="4195"/>
  </r>
  <r>
    <n v="294"/>
    <s v="21/10/2018"/>
    <x v="3"/>
    <n v="2018"/>
    <x v="9"/>
    <x v="0"/>
    <x v="6"/>
    <x v="1"/>
    <x v="1"/>
    <n v="17.5275"/>
    <n v="21.1798"/>
    <x v="4"/>
    <n v="57.416699999999999"/>
    <x v="2"/>
    <n v="14.833532"/>
    <x v="0"/>
    <n v="676"/>
    <n v="3628"/>
    <n v="4304"/>
  </r>
  <r>
    <n v="295"/>
    <s v="22/10/2018"/>
    <x v="3"/>
    <n v="2018"/>
    <x v="9"/>
    <x v="0"/>
    <x v="0"/>
    <x v="0"/>
    <x v="1"/>
    <n v="17.322500000000002"/>
    <n v="21.2746"/>
    <x v="4"/>
    <n v="62.916699999999999"/>
    <x v="1"/>
    <n v="6.2086689000000002"/>
    <x v="2"/>
    <n v="1499"/>
    <n v="2809"/>
    <n v="4308"/>
  </r>
  <r>
    <n v="296"/>
    <s v="23/10/2018"/>
    <x v="3"/>
    <n v="2018"/>
    <x v="9"/>
    <x v="0"/>
    <x v="1"/>
    <x v="0"/>
    <x v="1"/>
    <n v="17.288347000000002"/>
    <n v="21.11665"/>
    <x v="4"/>
    <n v="74.125"/>
    <x v="1"/>
    <n v="6.6673375000000004"/>
    <x v="2"/>
    <n v="1619"/>
    <n v="2762"/>
    <n v="4381"/>
  </r>
  <r>
    <n v="297"/>
    <s v="24/10/2018"/>
    <x v="3"/>
    <n v="2018"/>
    <x v="9"/>
    <x v="0"/>
    <x v="2"/>
    <x v="1"/>
    <x v="1"/>
    <n v="18.996652999999998"/>
    <n v="22.853349999999999"/>
    <x v="4"/>
    <n v="77.208299999999994"/>
    <x v="1"/>
    <n v="7.9590639999999997"/>
    <x v="2"/>
    <n v="699"/>
    <n v="3488"/>
    <n v="4187"/>
  </r>
  <r>
    <n v="298"/>
    <s v="25/10/2018"/>
    <x v="3"/>
    <n v="2018"/>
    <x v="9"/>
    <x v="0"/>
    <x v="3"/>
    <x v="1"/>
    <x v="1"/>
    <n v="19.338346999999999"/>
    <n v="23.168749999999999"/>
    <x v="4"/>
    <n v="62.291699999999999"/>
    <x v="1"/>
    <n v="11.166086"/>
    <x v="0"/>
    <n v="695"/>
    <n v="3992"/>
    <n v="4687"/>
  </r>
  <r>
    <n v="299"/>
    <s v="26/10/2018"/>
    <x v="3"/>
    <n v="2018"/>
    <x v="9"/>
    <x v="0"/>
    <x v="4"/>
    <x v="1"/>
    <x v="0"/>
    <n v="19.850847000000002"/>
    <n v="23.642299999999999"/>
    <x v="4"/>
    <n v="72.041700000000006"/>
    <x v="1"/>
    <n v="9.9590139999999998"/>
    <x v="2"/>
    <n v="404"/>
    <n v="3490"/>
    <n v="3894"/>
  </r>
  <r>
    <n v="300"/>
    <s v="27/10/2018"/>
    <x v="3"/>
    <n v="2018"/>
    <x v="9"/>
    <x v="0"/>
    <x v="5"/>
    <x v="1"/>
    <x v="0"/>
    <n v="19.27"/>
    <n v="22.8523"/>
    <x v="4"/>
    <n v="81.291700000000006"/>
    <x v="0"/>
    <n v="13.250121"/>
    <x v="0"/>
    <n v="240"/>
    <n v="2419"/>
    <n v="2659"/>
  </r>
  <r>
    <n v="301"/>
    <s v="28/10/2018"/>
    <x v="3"/>
    <n v="2018"/>
    <x v="9"/>
    <x v="0"/>
    <x v="6"/>
    <x v="1"/>
    <x v="0"/>
    <n v="13.564152999999999"/>
    <n v="15.9406"/>
    <x v="0"/>
    <n v="58.583300000000001"/>
    <x v="2"/>
    <n v="15.375093"/>
    <x v="1"/>
    <n v="456"/>
    <n v="3291"/>
    <n v="3747"/>
  </r>
  <r>
    <n v="302"/>
    <s v="29/10/2018"/>
    <x v="3"/>
    <n v="2018"/>
    <x v="9"/>
    <x v="0"/>
    <x v="0"/>
    <x v="0"/>
    <x v="2"/>
    <n v="10.420847"/>
    <n v="11.39565"/>
    <x v="2"/>
    <n v="88.25"/>
    <x v="0"/>
    <n v="23.541857"/>
    <x v="3"/>
    <n v="57"/>
    <n v="570"/>
    <n v="627"/>
  </r>
  <r>
    <n v="303"/>
    <s v="30/10/2018"/>
    <x v="3"/>
    <n v="2018"/>
    <x v="9"/>
    <x v="0"/>
    <x v="1"/>
    <x v="0"/>
    <x v="1"/>
    <n v="13.085846999999999"/>
    <n v="16.06645"/>
    <x v="0"/>
    <n v="62.375"/>
    <x v="1"/>
    <n v="11.833339"/>
    <x v="0"/>
    <n v="885"/>
    <n v="2446"/>
    <n v="3331"/>
  </r>
  <r>
    <n v="304"/>
    <s v="31/10/2018"/>
    <x v="3"/>
    <n v="2018"/>
    <x v="9"/>
    <x v="0"/>
    <x v="2"/>
    <x v="1"/>
    <x v="1"/>
    <n v="13.94"/>
    <n v="17.803149999999999"/>
    <x v="0"/>
    <n v="70.333299999999994"/>
    <x v="1"/>
    <n v="7.1254499999999998"/>
    <x v="2"/>
    <n v="362"/>
    <n v="3307"/>
    <n v="3669"/>
  </r>
  <r>
    <n v="305"/>
    <d v="2018-01-11T00:00:00"/>
    <x v="3"/>
    <n v="2018"/>
    <x v="10"/>
    <x v="0"/>
    <x v="3"/>
    <x v="1"/>
    <x v="1"/>
    <n v="16.434152999999998"/>
    <n v="19.854399999999998"/>
    <x v="0"/>
    <n v="68.375"/>
    <x v="1"/>
    <n v="9.0832569999999997"/>
    <x v="2"/>
    <n v="410"/>
    <n v="3658"/>
    <n v="4068"/>
  </r>
  <r>
    <n v="306"/>
    <d v="2018-02-11T00:00:00"/>
    <x v="3"/>
    <n v="2018"/>
    <x v="10"/>
    <x v="0"/>
    <x v="4"/>
    <x v="1"/>
    <x v="1"/>
    <n v="15.477499999999999"/>
    <n v="19.50665"/>
    <x v="0"/>
    <n v="71.875"/>
    <x v="1"/>
    <n v="5.5001439000000003"/>
    <x v="2"/>
    <n v="370"/>
    <n v="3816"/>
    <n v="4186"/>
  </r>
  <r>
    <n v="307"/>
    <d v="2018-03-11T00:00:00"/>
    <x v="3"/>
    <n v="2018"/>
    <x v="10"/>
    <x v="0"/>
    <x v="5"/>
    <x v="1"/>
    <x v="1"/>
    <n v="16.741652999999999"/>
    <n v="20.296050000000001"/>
    <x v="4"/>
    <n v="70.208299999999994"/>
    <x v="1"/>
    <n v="9.1667389999999997"/>
    <x v="2"/>
    <n v="318"/>
    <n v="3656"/>
    <n v="3974"/>
  </r>
  <r>
    <n v="308"/>
    <d v="2018-04-11T00:00:00"/>
    <x v="3"/>
    <n v="2018"/>
    <x v="10"/>
    <x v="0"/>
    <x v="6"/>
    <x v="1"/>
    <x v="0"/>
    <n v="16.536653000000001"/>
    <n v="20.169599999999999"/>
    <x v="4"/>
    <n v="62.25"/>
    <x v="1"/>
    <n v="18.209192999999999"/>
    <x v="1"/>
    <n v="470"/>
    <n v="3576"/>
    <n v="4046"/>
  </r>
  <r>
    <n v="309"/>
    <d v="2018-05-11T00:00:00"/>
    <x v="3"/>
    <n v="2018"/>
    <x v="10"/>
    <x v="0"/>
    <x v="0"/>
    <x v="0"/>
    <x v="1"/>
    <n v="13.393347"/>
    <n v="16.192699999999999"/>
    <x v="0"/>
    <n v="51.916699999999999"/>
    <x v="2"/>
    <n v="12.667154"/>
    <x v="0"/>
    <n v="1156"/>
    <n v="2770"/>
    <n v="3926"/>
  </r>
  <r>
    <n v="310"/>
    <d v="2018-06-11T00:00:00"/>
    <x v="3"/>
    <n v="2018"/>
    <x v="10"/>
    <x v="0"/>
    <x v="1"/>
    <x v="0"/>
    <x v="1"/>
    <n v="14.281653"/>
    <n v="18.117899999999999"/>
    <x v="0"/>
    <n v="73.458299999999994"/>
    <x v="1"/>
    <n v="6.1676314000000003"/>
    <x v="2"/>
    <n v="952"/>
    <n v="2697"/>
    <n v="3649"/>
  </r>
  <r>
    <n v="311"/>
    <d v="2018-07-11T00:00:00"/>
    <x v="3"/>
    <n v="2018"/>
    <x v="10"/>
    <x v="0"/>
    <x v="2"/>
    <x v="1"/>
    <x v="1"/>
    <n v="16.195"/>
    <n v="20.04355"/>
    <x v="4"/>
    <n v="75.875"/>
    <x v="1"/>
    <n v="3.8340749999999999"/>
    <x v="4"/>
    <n v="373"/>
    <n v="3662"/>
    <n v="4035"/>
  </r>
  <r>
    <n v="312"/>
    <d v="2018-08-11T00:00:00"/>
    <x v="3"/>
    <n v="2018"/>
    <x v="10"/>
    <x v="0"/>
    <x v="3"/>
    <x v="1"/>
    <x v="1"/>
    <n v="16.741652999999999"/>
    <n v="20.612300000000001"/>
    <x v="4"/>
    <n v="72.166700000000006"/>
    <x v="1"/>
    <n v="4.6255125000000001"/>
    <x v="4"/>
    <n v="376"/>
    <n v="3829"/>
    <n v="4205"/>
  </r>
  <r>
    <n v="313"/>
    <d v="2018-09-11T00:00:00"/>
    <x v="3"/>
    <n v="2018"/>
    <x v="10"/>
    <x v="0"/>
    <x v="4"/>
    <x v="1"/>
    <x v="1"/>
    <n v="16.399999999999999"/>
    <n v="20.453949999999999"/>
    <x v="4"/>
    <n v="75.833299999999994"/>
    <x v="1"/>
    <n v="4.1671186000000002"/>
    <x v="4"/>
    <n v="305"/>
    <n v="3804"/>
    <n v="4109"/>
  </r>
  <r>
    <n v="314"/>
    <d v="2018-10-11T00:00:00"/>
    <x v="3"/>
    <n v="2018"/>
    <x v="10"/>
    <x v="0"/>
    <x v="5"/>
    <x v="1"/>
    <x v="0"/>
    <n v="15.58"/>
    <n v="18.686050000000002"/>
    <x v="0"/>
    <n v="81.333299999999994"/>
    <x v="0"/>
    <n v="12.667489"/>
    <x v="0"/>
    <n v="190"/>
    <n v="2743"/>
    <n v="2933"/>
  </r>
  <r>
    <n v="315"/>
    <d v="2018-11-11T00:00:00"/>
    <x v="3"/>
    <n v="2018"/>
    <x v="10"/>
    <x v="1"/>
    <x v="6"/>
    <x v="0"/>
    <x v="1"/>
    <n v="13.290846999999999"/>
    <n v="15.34085"/>
    <x v="0"/>
    <n v="44.625"/>
    <x v="2"/>
    <n v="21.083224999999999"/>
    <x v="3"/>
    <n v="440"/>
    <n v="2928"/>
    <n v="3368"/>
  </r>
  <r>
    <n v="316"/>
    <d v="2018-12-11T00:00:00"/>
    <x v="3"/>
    <n v="2018"/>
    <x v="10"/>
    <x v="0"/>
    <x v="0"/>
    <x v="0"/>
    <x v="1"/>
    <n v="14.623347000000001"/>
    <n v="17.897099999999998"/>
    <x v="0"/>
    <n v="55.291699999999999"/>
    <x v="2"/>
    <n v="14.208154"/>
    <x v="0"/>
    <n v="1275"/>
    <n v="2792"/>
    <n v="4067"/>
  </r>
  <r>
    <n v="317"/>
    <s v="13/11/2018"/>
    <x v="3"/>
    <n v="2018"/>
    <x v="10"/>
    <x v="0"/>
    <x v="1"/>
    <x v="0"/>
    <x v="1"/>
    <n v="18.074152999999999"/>
    <n v="21.5275"/>
    <x v="4"/>
    <n v="45.833300000000001"/>
    <x v="2"/>
    <n v="18.875306999999999"/>
    <x v="1"/>
    <n v="1004"/>
    <n v="2713"/>
    <n v="3717"/>
  </r>
  <r>
    <n v="318"/>
    <s v="14/11/2018"/>
    <x v="3"/>
    <n v="2018"/>
    <x v="10"/>
    <x v="0"/>
    <x v="2"/>
    <x v="1"/>
    <x v="1"/>
    <n v="21.73"/>
    <n v="26.230599999999999"/>
    <x v="5"/>
    <n v="58.708300000000001"/>
    <x v="2"/>
    <n v="20.541931999999999"/>
    <x v="3"/>
    <n v="595"/>
    <n v="3891"/>
    <n v="4486"/>
  </r>
  <r>
    <n v="319"/>
    <s v="15/11/2018"/>
    <x v="3"/>
    <n v="2018"/>
    <x v="10"/>
    <x v="0"/>
    <x v="3"/>
    <x v="1"/>
    <x v="0"/>
    <n v="21.73"/>
    <n v="25.37895"/>
    <x v="5"/>
    <n v="68.875"/>
    <x v="1"/>
    <n v="13.375411"/>
    <x v="0"/>
    <n v="449"/>
    <n v="3746"/>
    <n v="4195"/>
  </r>
  <r>
    <n v="320"/>
    <s v="16/11/2018"/>
    <x v="3"/>
    <n v="2018"/>
    <x v="10"/>
    <x v="0"/>
    <x v="4"/>
    <x v="1"/>
    <x v="2"/>
    <n v="18.723347"/>
    <n v="22.599399999999999"/>
    <x v="4"/>
    <n v="93"/>
    <x v="0"/>
    <n v="9.1675430000000002"/>
    <x v="2"/>
    <n v="145"/>
    <n v="1672"/>
    <n v="1817"/>
  </r>
  <r>
    <n v="321"/>
    <s v="17/11/2018"/>
    <x v="3"/>
    <n v="2018"/>
    <x v="10"/>
    <x v="0"/>
    <x v="5"/>
    <x v="1"/>
    <x v="0"/>
    <n v="14.008347000000001"/>
    <n v="16.161049999999999"/>
    <x v="0"/>
    <n v="57.583300000000001"/>
    <x v="2"/>
    <n v="20.459254000000001"/>
    <x v="3"/>
    <n v="139"/>
    <n v="2914"/>
    <n v="3053"/>
  </r>
  <r>
    <n v="322"/>
    <s v="18/11/2018"/>
    <x v="3"/>
    <n v="2018"/>
    <x v="10"/>
    <x v="0"/>
    <x v="6"/>
    <x v="1"/>
    <x v="1"/>
    <n v="11.240847"/>
    <n v="13.636049999999999"/>
    <x v="2"/>
    <n v="41"/>
    <x v="2"/>
    <n v="11.291710999999999"/>
    <x v="0"/>
    <n v="245"/>
    <n v="3147"/>
    <n v="3392"/>
  </r>
  <r>
    <n v="323"/>
    <s v="19/11/2018"/>
    <x v="3"/>
    <n v="2018"/>
    <x v="10"/>
    <x v="0"/>
    <x v="0"/>
    <x v="0"/>
    <x v="1"/>
    <n v="13.495846999999999"/>
    <n v="16.224150000000002"/>
    <x v="0"/>
    <n v="50.208300000000001"/>
    <x v="2"/>
    <n v="15.041232000000001"/>
    <x v="1"/>
    <n v="943"/>
    <n v="2720"/>
    <n v="3663"/>
  </r>
  <r>
    <n v="324"/>
    <s v="20/11/2018"/>
    <x v="3"/>
    <n v="2018"/>
    <x v="10"/>
    <x v="0"/>
    <x v="1"/>
    <x v="0"/>
    <x v="0"/>
    <n v="18.996652999999998"/>
    <n v="22.852900000000002"/>
    <x v="4"/>
    <n v="68.458299999999994"/>
    <x v="1"/>
    <n v="12.45865"/>
    <x v="0"/>
    <n v="787"/>
    <n v="2733"/>
    <n v="3520"/>
  </r>
  <r>
    <n v="325"/>
    <s v="21/11/2018"/>
    <x v="3"/>
    <n v="2018"/>
    <x v="10"/>
    <x v="0"/>
    <x v="2"/>
    <x v="1"/>
    <x v="2"/>
    <n v="18.3475"/>
    <n v="22.2531"/>
    <x v="4"/>
    <n v="91"/>
    <x v="0"/>
    <n v="9.2496179999999999"/>
    <x v="2"/>
    <n v="220"/>
    <n v="2545"/>
    <n v="2765"/>
  </r>
  <r>
    <n v="326"/>
    <s v="22/11/2018"/>
    <x v="3"/>
    <n v="2018"/>
    <x v="10"/>
    <x v="0"/>
    <x v="3"/>
    <x v="1"/>
    <x v="2"/>
    <n v="17.083347"/>
    <n v="21.084800000000001"/>
    <x v="4"/>
    <n v="96.25"/>
    <x v="0"/>
    <n v="7.9590639999999997"/>
    <x v="2"/>
    <n v="69"/>
    <n v="1538"/>
    <n v="1607"/>
  </r>
  <r>
    <n v="327"/>
    <s v="23/11/2018"/>
    <x v="3"/>
    <n v="2018"/>
    <x v="10"/>
    <x v="0"/>
    <x v="4"/>
    <x v="1"/>
    <x v="0"/>
    <n v="18.074152999999999"/>
    <n v="21.52685"/>
    <x v="4"/>
    <n v="75.791700000000006"/>
    <x v="1"/>
    <n v="22.500274999999998"/>
    <x v="3"/>
    <n v="112"/>
    <n v="2454"/>
    <n v="2566"/>
  </r>
  <r>
    <n v="328"/>
    <s v="24/11/2018"/>
    <x v="3"/>
    <n v="2018"/>
    <x v="10"/>
    <x v="1"/>
    <x v="5"/>
    <x v="0"/>
    <x v="1"/>
    <n v="15.306653000000001"/>
    <n v="18.623550000000002"/>
    <x v="0"/>
    <n v="54.916699999999999"/>
    <x v="2"/>
    <n v="11.209368"/>
    <x v="0"/>
    <n v="560"/>
    <n v="935"/>
    <n v="1495"/>
  </r>
  <r>
    <n v="329"/>
    <s v="25/11/2018"/>
    <x v="3"/>
    <n v="2018"/>
    <x v="10"/>
    <x v="0"/>
    <x v="6"/>
    <x v="1"/>
    <x v="1"/>
    <n v="15.375"/>
    <n v="19.033550000000002"/>
    <x v="0"/>
    <n v="64.375"/>
    <x v="1"/>
    <n v="6.6260186000000001"/>
    <x v="2"/>
    <n v="1095"/>
    <n v="1697"/>
    <n v="2792"/>
  </r>
  <r>
    <n v="330"/>
    <s v="26/11/2018"/>
    <x v="3"/>
    <n v="2018"/>
    <x v="10"/>
    <x v="0"/>
    <x v="0"/>
    <x v="0"/>
    <x v="1"/>
    <n v="15.409153"/>
    <n v="19.254349999999999"/>
    <x v="0"/>
    <n v="68.166700000000006"/>
    <x v="1"/>
    <n v="4.5841935999999999"/>
    <x v="4"/>
    <n v="1249"/>
    <n v="1819"/>
    <n v="3068"/>
  </r>
  <r>
    <n v="331"/>
    <s v="27/11/2018"/>
    <x v="3"/>
    <n v="2018"/>
    <x v="10"/>
    <x v="0"/>
    <x v="1"/>
    <x v="0"/>
    <x v="1"/>
    <n v="18.825847"/>
    <n v="22.79"/>
    <x v="4"/>
    <n v="69.833299999999994"/>
    <x v="1"/>
    <n v="13.999917999999999"/>
    <x v="0"/>
    <n v="810"/>
    <n v="2261"/>
    <n v="3071"/>
  </r>
  <r>
    <n v="332"/>
    <s v="28/11/2018"/>
    <x v="3"/>
    <n v="2018"/>
    <x v="10"/>
    <x v="0"/>
    <x v="2"/>
    <x v="1"/>
    <x v="1"/>
    <n v="20.642598"/>
    <n v="24.5061"/>
    <x v="4"/>
    <n v="74.304299999999998"/>
    <x v="1"/>
    <n v="9.5221739999999997"/>
    <x v="2"/>
    <n v="253"/>
    <n v="3614"/>
    <n v="3867"/>
  </r>
  <r>
    <n v="333"/>
    <s v="29/11/2018"/>
    <x v="3"/>
    <n v="2018"/>
    <x v="10"/>
    <x v="0"/>
    <x v="3"/>
    <x v="1"/>
    <x v="0"/>
    <n v="18.791653"/>
    <n v="22.568750000000001"/>
    <x v="4"/>
    <n v="83.083299999999994"/>
    <x v="0"/>
    <n v="17.292164"/>
    <x v="1"/>
    <n v="96"/>
    <n v="2818"/>
    <n v="2914"/>
  </r>
  <r>
    <n v="334"/>
    <s v="30/11/2018"/>
    <x v="3"/>
    <n v="2018"/>
    <x v="10"/>
    <x v="0"/>
    <x v="4"/>
    <x v="1"/>
    <x v="1"/>
    <n v="13.324999999999999"/>
    <n v="15.56105"/>
    <x v="0"/>
    <n v="61.333300000000001"/>
    <x v="1"/>
    <n v="18.167586"/>
    <x v="1"/>
    <n v="188"/>
    <n v="3425"/>
    <n v="3613"/>
  </r>
  <r>
    <n v="335"/>
    <d v="2018-01-12T00:00:00"/>
    <x v="3"/>
    <n v="2018"/>
    <x v="11"/>
    <x v="0"/>
    <x v="5"/>
    <x v="1"/>
    <x v="1"/>
    <n v="12.8125"/>
    <n v="15.277699999999999"/>
    <x v="0"/>
    <n v="52.458300000000001"/>
    <x v="2"/>
    <n v="14.750586"/>
    <x v="0"/>
    <n v="182"/>
    <n v="3545"/>
    <n v="3727"/>
  </r>
  <r>
    <n v="336"/>
    <d v="2018-02-12T00:00:00"/>
    <x v="3"/>
    <n v="2018"/>
    <x v="11"/>
    <x v="0"/>
    <x v="6"/>
    <x v="1"/>
    <x v="1"/>
    <n v="12.880846999999999"/>
    <n v="16.571650000000002"/>
    <x v="0"/>
    <n v="62.583300000000001"/>
    <x v="1"/>
    <n v="6.7505179999999996"/>
    <x v="2"/>
    <n v="268"/>
    <n v="3672"/>
    <n v="3940"/>
  </r>
  <r>
    <n v="337"/>
    <d v="2018-03-12T00:00:00"/>
    <x v="3"/>
    <n v="2018"/>
    <x v="11"/>
    <x v="0"/>
    <x v="0"/>
    <x v="0"/>
    <x v="1"/>
    <n v="12.265847000000001"/>
    <n v="15.530200000000001"/>
    <x v="0"/>
    <n v="61.291699999999999"/>
    <x v="1"/>
    <n v="6.4174810999999998"/>
    <x v="2"/>
    <n v="706"/>
    <n v="2908"/>
    <n v="3614"/>
  </r>
  <r>
    <n v="338"/>
    <d v="2018-04-12T00:00:00"/>
    <x v="3"/>
    <n v="2018"/>
    <x v="11"/>
    <x v="0"/>
    <x v="1"/>
    <x v="0"/>
    <x v="1"/>
    <n v="13.564152999999999"/>
    <n v="17.454999999999998"/>
    <x v="0"/>
    <n v="77.583299999999994"/>
    <x v="1"/>
    <n v="5.6252060999999998"/>
    <x v="2"/>
    <n v="634"/>
    <n v="2851"/>
    <n v="3485"/>
  </r>
  <r>
    <n v="339"/>
    <d v="2018-05-12T00:00:00"/>
    <x v="3"/>
    <n v="2018"/>
    <x v="11"/>
    <x v="0"/>
    <x v="2"/>
    <x v="1"/>
    <x v="0"/>
    <n v="15.819153"/>
    <n v="19.696249999999999"/>
    <x v="0"/>
    <n v="82.708299999999994"/>
    <x v="0"/>
    <n v="4.1679560999999996"/>
    <x v="4"/>
    <n v="233"/>
    <n v="3578"/>
    <n v="3811"/>
  </r>
  <r>
    <n v="340"/>
    <d v="2018-06-12T00:00:00"/>
    <x v="3"/>
    <n v="2018"/>
    <x v="11"/>
    <x v="0"/>
    <x v="3"/>
    <x v="1"/>
    <x v="2"/>
    <n v="18.962499999999999"/>
    <n v="22.82"/>
    <x v="4"/>
    <n v="94.958299999999994"/>
    <x v="0"/>
    <n v="15.583061000000001"/>
    <x v="1"/>
    <n v="126"/>
    <n v="2468"/>
    <n v="2594"/>
  </r>
  <r>
    <n v="341"/>
    <d v="2018-07-12T00:00:00"/>
    <x v="3"/>
    <n v="2018"/>
    <x v="11"/>
    <x v="0"/>
    <x v="4"/>
    <x v="1"/>
    <x v="2"/>
    <n v="16.809999999999999"/>
    <n v="20.0123"/>
    <x v="4"/>
    <n v="97.041700000000006"/>
    <x v="0"/>
    <n v="17.833725000000001"/>
    <x v="1"/>
    <n v="50"/>
    <n v="655"/>
    <n v="705"/>
  </r>
  <r>
    <n v="342"/>
    <d v="2018-08-12T00:00:00"/>
    <x v="3"/>
    <n v="2018"/>
    <x v="11"/>
    <x v="0"/>
    <x v="5"/>
    <x v="1"/>
    <x v="1"/>
    <n v="10.899153"/>
    <n v="12.8469"/>
    <x v="2"/>
    <n v="58"/>
    <x v="2"/>
    <n v="16.083886"/>
    <x v="1"/>
    <n v="150"/>
    <n v="3172"/>
    <n v="3322"/>
  </r>
  <r>
    <n v="343"/>
    <d v="2018-09-12T00:00:00"/>
    <x v="3"/>
    <n v="2018"/>
    <x v="11"/>
    <x v="0"/>
    <x v="6"/>
    <x v="1"/>
    <x v="1"/>
    <n v="11.924153"/>
    <n v="15.8771"/>
    <x v="0"/>
    <n v="69.583299999999994"/>
    <x v="1"/>
    <n v="5.5420189000000004"/>
    <x v="2"/>
    <n v="261"/>
    <n v="3359"/>
    <n v="3620"/>
  </r>
  <r>
    <n v="344"/>
    <d v="2018-10-12T00:00:00"/>
    <x v="3"/>
    <n v="2018"/>
    <x v="11"/>
    <x v="0"/>
    <x v="0"/>
    <x v="0"/>
    <x v="1"/>
    <n v="11.275"/>
    <n v="13.320600000000001"/>
    <x v="2"/>
    <n v="50.75"/>
    <x v="2"/>
    <n v="15.625807"/>
    <x v="1"/>
    <n v="502"/>
    <n v="2688"/>
    <n v="3190"/>
  </r>
  <r>
    <n v="345"/>
    <d v="2018-11-12T00:00:00"/>
    <x v="3"/>
    <n v="2018"/>
    <x v="11"/>
    <x v="0"/>
    <x v="1"/>
    <x v="0"/>
    <x v="1"/>
    <n v="9.0541529999999995"/>
    <n v="12.6577"/>
    <x v="2"/>
    <n v="49"/>
    <x v="2"/>
    <n v="4.4582939000000001"/>
    <x v="4"/>
    <n v="377"/>
    <n v="2366"/>
    <n v="2743"/>
  </r>
  <r>
    <n v="346"/>
    <d v="2018-12-12T00:00:00"/>
    <x v="3"/>
    <n v="2018"/>
    <x v="11"/>
    <x v="0"/>
    <x v="2"/>
    <x v="1"/>
    <x v="1"/>
    <n v="9.7716530000000006"/>
    <n v="13.5098"/>
    <x v="2"/>
    <n v="67.083299999999994"/>
    <x v="1"/>
    <n v="4.25115"/>
    <x v="4"/>
    <n v="143"/>
    <n v="3167"/>
    <n v="3310"/>
  </r>
  <r>
    <n v="347"/>
    <s v="13/12/2018"/>
    <x v="3"/>
    <n v="2018"/>
    <x v="11"/>
    <x v="0"/>
    <x v="3"/>
    <x v="1"/>
    <x v="1"/>
    <n v="11.5825"/>
    <n v="15.056900000000001"/>
    <x v="0"/>
    <n v="59"/>
    <x v="2"/>
    <n v="9.4168500000000002"/>
    <x v="2"/>
    <n v="155"/>
    <n v="3368"/>
    <n v="3523"/>
  </r>
  <r>
    <n v="348"/>
    <s v="14/12/2018"/>
    <x v="3"/>
    <n v="2018"/>
    <x v="11"/>
    <x v="0"/>
    <x v="4"/>
    <x v="1"/>
    <x v="0"/>
    <n v="13.0175"/>
    <n v="16.918099999999999"/>
    <x v="0"/>
    <n v="66.375"/>
    <x v="1"/>
    <n v="4.0842061000000003"/>
    <x v="4"/>
    <n v="178"/>
    <n v="3562"/>
    <n v="3740"/>
  </r>
  <r>
    <n v="349"/>
    <s v="15/12/2018"/>
    <x v="3"/>
    <n v="2018"/>
    <x v="11"/>
    <x v="0"/>
    <x v="5"/>
    <x v="1"/>
    <x v="0"/>
    <n v="17.322500000000002"/>
    <n v="20.61185"/>
    <x v="4"/>
    <n v="63.416699999999999"/>
    <x v="1"/>
    <n v="17.958814"/>
    <x v="1"/>
    <n v="181"/>
    <n v="3528"/>
    <n v="3709"/>
  </r>
  <r>
    <n v="350"/>
    <s v="16/12/2018"/>
    <x v="3"/>
    <n v="2018"/>
    <x v="11"/>
    <x v="0"/>
    <x v="6"/>
    <x v="1"/>
    <x v="0"/>
    <n v="15.375"/>
    <n v="17.991250000000001"/>
    <x v="0"/>
    <n v="50.041699999999999"/>
    <x v="2"/>
    <n v="17.458525000000002"/>
    <x v="1"/>
    <n v="178"/>
    <n v="3399"/>
    <n v="3577"/>
  </r>
  <r>
    <n v="351"/>
    <s v="17/12/2018"/>
    <x v="3"/>
    <n v="2018"/>
    <x v="11"/>
    <x v="0"/>
    <x v="0"/>
    <x v="0"/>
    <x v="0"/>
    <n v="10.591653000000001"/>
    <n v="12.46855"/>
    <x v="2"/>
    <n v="56.083300000000001"/>
    <x v="2"/>
    <n v="16.292189"/>
    <x v="1"/>
    <n v="275"/>
    <n v="2464"/>
    <n v="2739"/>
  </r>
  <r>
    <n v="352"/>
    <s v="18/12/2018"/>
    <x v="3"/>
    <n v="2018"/>
    <x v="11"/>
    <x v="0"/>
    <x v="1"/>
    <x v="0"/>
    <x v="1"/>
    <n v="9.7716530000000006"/>
    <n v="12.27895"/>
    <x v="2"/>
    <n v="58.625"/>
    <x v="2"/>
    <n v="11.375192999999999"/>
    <x v="0"/>
    <n v="220"/>
    <n v="2211"/>
    <n v="2431"/>
  </r>
  <r>
    <n v="353"/>
    <s v="19/12/2018"/>
    <x v="3"/>
    <n v="2018"/>
    <x v="11"/>
    <x v="0"/>
    <x v="2"/>
    <x v="1"/>
    <x v="1"/>
    <n v="11.343347"/>
    <n v="14.04665"/>
    <x v="2"/>
    <n v="63.75"/>
    <x v="1"/>
    <n v="11.584032000000001"/>
    <x v="0"/>
    <n v="260"/>
    <n v="3143"/>
    <n v="3403"/>
  </r>
  <r>
    <n v="354"/>
    <s v="20/12/2018"/>
    <x v="3"/>
    <n v="2018"/>
    <x v="11"/>
    <x v="0"/>
    <x v="3"/>
    <x v="1"/>
    <x v="0"/>
    <n v="15.819153"/>
    <n v="19.822700000000001"/>
    <x v="0"/>
    <n v="59.541699999999999"/>
    <x v="2"/>
    <n v="4.1252436000000001"/>
    <x v="4"/>
    <n v="216"/>
    <n v="3534"/>
    <n v="3750"/>
  </r>
  <r>
    <n v="355"/>
    <s v="21/12/2018"/>
    <x v="0"/>
    <n v="2018"/>
    <x v="11"/>
    <x v="0"/>
    <x v="4"/>
    <x v="1"/>
    <x v="0"/>
    <n v="17.561653"/>
    <n v="21.400849999999998"/>
    <x v="4"/>
    <n v="85.833299999999994"/>
    <x v="0"/>
    <n v="14.8338"/>
    <x v="0"/>
    <n v="107"/>
    <n v="2553"/>
    <n v="2660"/>
  </r>
  <r>
    <n v="356"/>
    <s v="22/12/2018"/>
    <x v="0"/>
    <n v="2018"/>
    <x v="11"/>
    <x v="0"/>
    <x v="5"/>
    <x v="1"/>
    <x v="0"/>
    <n v="17.356653000000001"/>
    <n v="21.306049999999999"/>
    <x v="4"/>
    <n v="75.75"/>
    <x v="1"/>
    <n v="3.1674250000000002"/>
    <x v="4"/>
    <n v="227"/>
    <n v="2841"/>
    <n v="3068"/>
  </r>
  <r>
    <n v="357"/>
    <s v="23/12/2018"/>
    <x v="0"/>
    <n v="2018"/>
    <x v="11"/>
    <x v="0"/>
    <x v="6"/>
    <x v="1"/>
    <x v="1"/>
    <n v="15.306653000000001"/>
    <n v="18.87565"/>
    <x v="0"/>
    <n v="68.625"/>
    <x v="1"/>
    <n v="18.374482"/>
    <x v="1"/>
    <n v="163"/>
    <n v="2046"/>
    <n v="2209"/>
  </r>
  <r>
    <n v="358"/>
    <s v="24/12/2018"/>
    <x v="0"/>
    <n v="2018"/>
    <x v="11"/>
    <x v="0"/>
    <x v="0"/>
    <x v="0"/>
    <x v="1"/>
    <n v="12.4025"/>
    <n v="14.9621"/>
    <x v="2"/>
    <n v="54.25"/>
    <x v="2"/>
    <n v="12.750368"/>
    <x v="0"/>
    <n v="155"/>
    <n v="856"/>
    <n v="1011"/>
  </r>
  <r>
    <n v="359"/>
    <s v="25/12/2018"/>
    <x v="0"/>
    <n v="2018"/>
    <x v="11"/>
    <x v="0"/>
    <x v="1"/>
    <x v="0"/>
    <x v="1"/>
    <n v="11.266102999999999"/>
    <n v="13.998049999999999"/>
    <x v="2"/>
    <n v="68.130399999999995"/>
    <x v="1"/>
    <n v="10.391097"/>
    <x v="0"/>
    <n v="303"/>
    <n v="451"/>
    <n v="754"/>
  </r>
  <r>
    <n v="360"/>
    <s v="26/12/2018"/>
    <x v="0"/>
    <n v="2018"/>
    <x v="11"/>
    <x v="1"/>
    <x v="2"/>
    <x v="0"/>
    <x v="1"/>
    <n v="13.191299000000001"/>
    <n v="15.77675"/>
    <x v="0"/>
    <n v="50.695700000000002"/>
    <x v="2"/>
    <n v="16.044155"/>
    <x v="1"/>
    <n v="430"/>
    <n v="887"/>
    <n v="1317"/>
  </r>
  <r>
    <n v="361"/>
    <s v="27/12/2018"/>
    <x v="0"/>
    <n v="2018"/>
    <x v="11"/>
    <x v="0"/>
    <x v="3"/>
    <x v="1"/>
    <x v="0"/>
    <n v="13.324999999999999"/>
    <n v="16.38165"/>
    <x v="0"/>
    <n v="76.25"/>
    <x v="1"/>
    <n v="12.626150000000001"/>
    <x v="0"/>
    <n v="103"/>
    <n v="1059"/>
    <n v="1162"/>
  </r>
  <r>
    <n v="362"/>
    <s v="28/12/2018"/>
    <x v="0"/>
    <n v="2018"/>
    <x v="11"/>
    <x v="0"/>
    <x v="4"/>
    <x v="1"/>
    <x v="1"/>
    <n v="12.264329999999999"/>
    <n v="13.998699999999999"/>
    <x v="2"/>
    <n v="50.391300000000001"/>
    <x v="2"/>
    <n v="19.695387"/>
    <x v="1"/>
    <n v="255"/>
    <n v="2047"/>
    <n v="2302"/>
  </r>
  <r>
    <n v="363"/>
    <s v="29/12/2018"/>
    <x v="0"/>
    <n v="2018"/>
    <x v="11"/>
    <x v="0"/>
    <x v="5"/>
    <x v="1"/>
    <x v="1"/>
    <n v="10.181653000000001"/>
    <n v="13.194599999999999"/>
    <x v="2"/>
    <n v="57.416699999999999"/>
    <x v="2"/>
    <n v="8.0006039999999992"/>
    <x v="2"/>
    <n v="254"/>
    <n v="2169"/>
    <n v="2423"/>
  </r>
  <r>
    <n v="364"/>
    <s v="30/12/2018"/>
    <x v="0"/>
    <n v="2018"/>
    <x v="11"/>
    <x v="0"/>
    <x v="6"/>
    <x v="1"/>
    <x v="1"/>
    <n v="12.778347"/>
    <n v="15.9406"/>
    <x v="0"/>
    <n v="63.666699999999999"/>
    <x v="1"/>
    <n v="9.0005790000000001"/>
    <x v="2"/>
    <n v="491"/>
    <n v="2508"/>
    <n v="2999"/>
  </r>
  <r>
    <n v="365"/>
    <s v="31/12/2018"/>
    <x v="0"/>
    <n v="2018"/>
    <x v="11"/>
    <x v="0"/>
    <x v="0"/>
    <x v="0"/>
    <x v="1"/>
    <n v="16.809999999999999"/>
    <n v="20.706050000000001"/>
    <x v="4"/>
    <n v="61.583300000000001"/>
    <x v="1"/>
    <n v="14.750318"/>
    <x v="0"/>
    <n v="665"/>
    <n v="1820"/>
    <n v="2485"/>
  </r>
  <r>
    <n v="366"/>
    <d v="2019-01-01T00:00:00"/>
    <x v="0"/>
    <n v="2019"/>
    <x v="0"/>
    <x v="0"/>
    <x v="1"/>
    <x v="0"/>
    <x v="1"/>
    <n v="15.17"/>
    <n v="18.78105"/>
    <x v="0"/>
    <n v="69.25"/>
    <x v="1"/>
    <n v="12.875189000000001"/>
    <x v="0"/>
    <n v="686"/>
    <n v="1608"/>
    <n v="2294"/>
  </r>
  <r>
    <n v="367"/>
    <d v="2019-02-01T00:00:00"/>
    <x v="0"/>
    <n v="2019"/>
    <x v="0"/>
    <x v="1"/>
    <x v="2"/>
    <x v="0"/>
    <x v="1"/>
    <n v="11.194763"/>
    <n v="12.6152"/>
    <x v="2"/>
    <n v="38.130400000000002"/>
    <x v="3"/>
    <n v="22.087554999999998"/>
    <x v="3"/>
    <n v="244"/>
    <n v="1707"/>
    <n v="1951"/>
  </r>
  <r>
    <n v="368"/>
    <d v="2019-03-01T00:00:00"/>
    <x v="0"/>
    <n v="2019"/>
    <x v="0"/>
    <x v="0"/>
    <x v="3"/>
    <x v="1"/>
    <x v="1"/>
    <n v="6.15"/>
    <n v="6.3137499999999998"/>
    <x v="1"/>
    <n v="44.125"/>
    <x v="2"/>
    <n v="24.499956999999998"/>
    <x v="3"/>
    <n v="89"/>
    <n v="2147"/>
    <n v="2236"/>
  </r>
  <r>
    <n v="369"/>
    <d v="2019-04-01T00:00:00"/>
    <x v="0"/>
    <n v="2019"/>
    <x v="0"/>
    <x v="0"/>
    <x v="4"/>
    <x v="1"/>
    <x v="0"/>
    <n v="4.4074999999999998"/>
    <n v="5.96685"/>
    <x v="1"/>
    <n v="41.458300000000001"/>
    <x v="2"/>
    <n v="12.3749"/>
    <x v="0"/>
    <n v="95"/>
    <n v="2273"/>
    <n v="2368"/>
  </r>
  <r>
    <n v="370"/>
    <d v="2019-05-01T00:00:00"/>
    <x v="0"/>
    <n v="2019"/>
    <x v="0"/>
    <x v="0"/>
    <x v="5"/>
    <x v="1"/>
    <x v="1"/>
    <n v="10.899153"/>
    <n v="13.9206"/>
    <x v="2"/>
    <n v="52.416699999999999"/>
    <x v="2"/>
    <n v="8.7091290000000008"/>
    <x v="2"/>
    <n v="140"/>
    <n v="3132"/>
    <n v="3272"/>
  </r>
  <r>
    <n v="371"/>
    <d v="2019-06-01T00:00:00"/>
    <x v="0"/>
    <n v="2019"/>
    <x v="0"/>
    <x v="0"/>
    <x v="6"/>
    <x v="1"/>
    <x v="1"/>
    <n v="13.700847"/>
    <n v="17.013349999999999"/>
    <x v="0"/>
    <n v="54.208300000000001"/>
    <x v="2"/>
    <n v="11.249836"/>
    <x v="0"/>
    <n v="307"/>
    <n v="3791"/>
    <n v="4098"/>
  </r>
  <r>
    <n v="372"/>
    <d v="2019-07-01T00:00:00"/>
    <x v="0"/>
    <n v="2019"/>
    <x v="0"/>
    <x v="0"/>
    <x v="0"/>
    <x v="0"/>
    <x v="1"/>
    <n v="16.126653000000001"/>
    <n v="19.53895"/>
    <x v="0"/>
    <n v="53.166699999999999"/>
    <x v="2"/>
    <n v="11.708786"/>
    <x v="0"/>
    <n v="1070"/>
    <n v="3451"/>
    <n v="4521"/>
  </r>
  <r>
    <n v="373"/>
    <d v="2019-08-01T00:00:00"/>
    <x v="0"/>
    <n v="2019"/>
    <x v="0"/>
    <x v="0"/>
    <x v="1"/>
    <x v="0"/>
    <x v="1"/>
    <n v="13.8375"/>
    <n v="17.012899999999998"/>
    <x v="0"/>
    <n v="46.5"/>
    <x v="2"/>
    <n v="12.833314"/>
    <x v="0"/>
    <n v="599"/>
    <n v="2826"/>
    <n v="3425"/>
  </r>
  <r>
    <n v="374"/>
    <d v="2019-09-01T00:00:00"/>
    <x v="0"/>
    <n v="2019"/>
    <x v="0"/>
    <x v="0"/>
    <x v="2"/>
    <x v="1"/>
    <x v="0"/>
    <n v="9.1908469999999998"/>
    <n v="12.373950000000001"/>
    <x v="2"/>
    <n v="70.166700000000006"/>
    <x v="1"/>
    <n v="6.6262999999999996"/>
    <x v="2"/>
    <n v="106"/>
    <n v="2270"/>
    <n v="2376"/>
  </r>
  <r>
    <n v="375"/>
    <d v="2019-10-01T00:00:00"/>
    <x v="0"/>
    <n v="2019"/>
    <x v="0"/>
    <x v="0"/>
    <x v="3"/>
    <x v="1"/>
    <x v="1"/>
    <n v="12.656535999999999"/>
    <n v="15.9413"/>
    <x v="0"/>
    <n v="64.652199999999993"/>
    <x v="1"/>
    <n v="12.565984"/>
    <x v="0"/>
    <n v="173"/>
    <n v="3425"/>
    <n v="3598"/>
  </r>
  <r>
    <n v="376"/>
    <d v="2019-11-01T00:00:00"/>
    <x v="0"/>
    <n v="2019"/>
    <x v="0"/>
    <x v="0"/>
    <x v="4"/>
    <x v="1"/>
    <x v="0"/>
    <n v="11.240847"/>
    <n v="14.14105"/>
    <x v="2"/>
    <n v="84.75"/>
    <x v="0"/>
    <n v="8.7918070000000004"/>
    <x v="2"/>
    <n v="92"/>
    <n v="2085"/>
    <n v="2177"/>
  </r>
  <r>
    <n v="377"/>
    <d v="2019-12-01T00:00:00"/>
    <x v="0"/>
    <n v="2019"/>
    <x v="0"/>
    <x v="0"/>
    <x v="5"/>
    <x v="1"/>
    <x v="0"/>
    <n v="15.682499999999999"/>
    <n v="19.096900000000002"/>
    <x v="0"/>
    <n v="80.291700000000006"/>
    <x v="0"/>
    <n v="12.124789"/>
    <x v="0"/>
    <n v="269"/>
    <n v="3828"/>
    <n v="4097"/>
  </r>
  <r>
    <n v="378"/>
    <s v="13/01/2019"/>
    <x v="0"/>
    <n v="2019"/>
    <x v="0"/>
    <x v="0"/>
    <x v="6"/>
    <x v="1"/>
    <x v="1"/>
    <n v="11.240847"/>
    <n v="12.4681"/>
    <x v="2"/>
    <n v="50.75"/>
    <x v="2"/>
    <n v="25.333235999999999"/>
    <x v="5"/>
    <n v="174"/>
    <n v="3040"/>
    <n v="3214"/>
  </r>
  <r>
    <n v="379"/>
    <s v="14/01/2019"/>
    <x v="0"/>
    <n v="2019"/>
    <x v="0"/>
    <x v="0"/>
    <x v="0"/>
    <x v="0"/>
    <x v="1"/>
    <n v="7.38"/>
    <n v="9.1543500000000009"/>
    <x v="1"/>
    <n v="45.75"/>
    <x v="2"/>
    <n v="12.541261"/>
    <x v="0"/>
    <n v="333"/>
    <n v="2160"/>
    <n v="2493"/>
  </r>
  <r>
    <n v="380"/>
    <s v="15/01/2019"/>
    <x v="0"/>
    <n v="2019"/>
    <x v="0"/>
    <x v="0"/>
    <x v="1"/>
    <x v="0"/>
    <x v="1"/>
    <n v="6.8333469999999998"/>
    <n v="8.0812500000000007"/>
    <x v="1"/>
    <n v="41.916699999999999"/>
    <x v="2"/>
    <n v="16.834285999999999"/>
    <x v="1"/>
    <n v="284"/>
    <n v="2027"/>
    <n v="2311"/>
  </r>
  <r>
    <n v="381"/>
    <s v="16/01/2019"/>
    <x v="0"/>
    <n v="2019"/>
    <x v="0"/>
    <x v="1"/>
    <x v="2"/>
    <x v="0"/>
    <x v="1"/>
    <n v="7.79"/>
    <n v="9.5331499999999991"/>
    <x v="1"/>
    <n v="52.25"/>
    <x v="2"/>
    <n v="15.500985999999999"/>
    <x v="1"/>
    <n v="217"/>
    <n v="2081"/>
    <n v="2298"/>
  </r>
  <r>
    <n v="382"/>
    <s v="17/01/2019"/>
    <x v="0"/>
    <n v="2019"/>
    <x v="0"/>
    <x v="0"/>
    <x v="3"/>
    <x v="1"/>
    <x v="0"/>
    <n v="15.294763"/>
    <n v="18.213899999999999"/>
    <x v="0"/>
    <n v="71.608699999999999"/>
    <x v="1"/>
    <n v="23.39171"/>
    <x v="3"/>
    <n v="127"/>
    <n v="2808"/>
    <n v="2935"/>
  </r>
  <r>
    <n v="383"/>
    <s v="18/01/2019"/>
    <x v="0"/>
    <n v="2019"/>
    <x v="0"/>
    <x v="0"/>
    <x v="4"/>
    <x v="1"/>
    <x v="1"/>
    <n v="12.436653"/>
    <n v="13.762700000000001"/>
    <x v="2"/>
    <n v="44.333300000000001"/>
    <x v="2"/>
    <n v="27.833742999999998"/>
    <x v="5"/>
    <n v="109"/>
    <n v="3267"/>
    <n v="3376"/>
  </r>
  <r>
    <n v="384"/>
    <s v="19/01/2019"/>
    <x v="0"/>
    <n v="2019"/>
    <x v="0"/>
    <x v="0"/>
    <x v="5"/>
    <x v="1"/>
    <x v="1"/>
    <n v="7.79"/>
    <n v="9.5018999999999991"/>
    <x v="1"/>
    <n v="49.75"/>
    <x v="2"/>
    <n v="14.750586"/>
    <x v="0"/>
    <n v="130"/>
    <n v="3162"/>
    <n v="3292"/>
  </r>
  <r>
    <n v="385"/>
    <s v="20/01/2019"/>
    <x v="0"/>
    <n v="2019"/>
    <x v="0"/>
    <x v="0"/>
    <x v="6"/>
    <x v="1"/>
    <x v="0"/>
    <n v="8.9175000000000004"/>
    <n v="11.0479"/>
    <x v="2"/>
    <n v="45"/>
    <x v="2"/>
    <n v="13.584250000000001"/>
    <x v="0"/>
    <n v="115"/>
    <n v="3048"/>
    <n v="3163"/>
  </r>
  <r>
    <n v="386"/>
    <s v="21/01/2019"/>
    <x v="0"/>
    <n v="2019"/>
    <x v="0"/>
    <x v="0"/>
    <x v="0"/>
    <x v="0"/>
    <x v="0"/>
    <n v="7.1066529999999997"/>
    <n v="8.7437500000000004"/>
    <x v="1"/>
    <n v="83.125"/>
    <x v="0"/>
    <n v="14.917014"/>
    <x v="0"/>
    <n v="67"/>
    <n v="1234"/>
    <n v="1301"/>
  </r>
  <r>
    <n v="387"/>
    <s v="22/01/2019"/>
    <x v="0"/>
    <n v="2019"/>
    <x v="0"/>
    <x v="0"/>
    <x v="1"/>
    <x v="0"/>
    <x v="0"/>
    <n v="6.6624999999999996"/>
    <n v="8.1125000000000007"/>
    <x v="1"/>
    <n v="79.625"/>
    <x v="1"/>
    <n v="13.375745999999999"/>
    <x v="0"/>
    <n v="196"/>
    <n v="1781"/>
    <n v="1977"/>
  </r>
  <r>
    <n v="388"/>
    <s v="23/01/2019"/>
    <x v="0"/>
    <n v="2019"/>
    <x v="0"/>
    <x v="0"/>
    <x v="2"/>
    <x v="1"/>
    <x v="0"/>
    <n v="8.9516530000000003"/>
    <n v="12.152900000000001"/>
    <x v="2"/>
    <n v="91.125"/>
    <x v="0"/>
    <n v="7.4174360000000004"/>
    <x v="2"/>
    <n v="145"/>
    <n v="2287"/>
    <n v="2432"/>
  </r>
  <r>
    <n v="389"/>
    <s v="24/01/2019"/>
    <x v="0"/>
    <n v="2019"/>
    <x v="0"/>
    <x v="0"/>
    <x v="3"/>
    <x v="1"/>
    <x v="1"/>
    <n v="14.0425"/>
    <n v="17.455400000000001"/>
    <x v="0"/>
    <n v="83.583299999999994"/>
    <x v="0"/>
    <n v="8.292389"/>
    <x v="2"/>
    <n v="439"/>
    <n v="3900"/>
    <n v="4339"/>
  </r>
  <r>
    <n v="390"/>
    <s v="25/01/2019"/>
    <x v="0"/>
    <n v="2019"/>
    <x v="0"/>
    <x v="0"/>
    <x v="4"/>
    <x v="1"/>
    <x v="1"/>
    <n v="12.060847000000001"/>
    <n v="14.74105"/>
    <x v="2"/>
    <n v="64.375"/>
    <x v="1"/>
    <n v="10.791757"/>
    <x v="0"/>
    <n v="467"/>
    <n v="3803"/>
    <n v="4270"/>
  </r>
  <r>
    <n v="391"/>
    <s v="26/01/2019"/>
    <x v="0"/>
    <n v="2019"/>
    <x v="0"/>
    <x v="0"/>
    <x v="5"/>
    <x v="1"/>
    <x v="0"/>
    <n v="14.008347000000001"/>
    <n v="17.802499999999998"/>
    <x v="0"/>
    <n v="76.958299999999994"/>
    <x v="1"/>
    <n v="4.9175186000000002"/>
    <x v="4"/>
    <n v="244"/>
    <n v="3831"/>
    <n v="4075"/>
  </r>
  <r>
    <n v="392"/>
    <s v="27/01/2019"/>
    <x v="0"/>
    <n v="2019"/>
    <x v="0"/>
    <x v="0"/>
    <x v="6"/>
    <x v="1"/>
    <x v="0"/>
    <n v="17.425000000000001"/>
    <n v="20.76915"/>
    <x v="4"/>
    <n v="74.125"/>
    <x v="1"/>
    <n v="22.958689"/>
    <x v="3"/>
    <n v="269"/>
    <n v="3187"/>
    <n v="3456"/>
  </r>
  <r>
    <n v="393"/>
    <s v="28/01/2019"/>
    <x v="0"/>
    <n v="2019"/>
    <x v="0"/>
    <x v="0"/>
    <x v="0"/>
    <x v="0"/>
    <x v="1"/>
    <n v="12.949153000000001"/>
    <n v="16.318950000000001"/>
    <x v="0"/>
    <n v="54.333300000000001"/>
    <x v="2"/>
    <n v="14.125543"/>
    <x v="0"/>
    <n v="775"/>
    <n v="3248"/>
    <n v="4023"/>
  </r>
  <r>
    <n v="394"/>
    <s v="29/01/2019"/>
    <x v="0"/>
    <n v="2019"/>
    <x v="0"/>
    <x v="0"/>
    <x v="1"/>
    <x v="0"/>
    <x v="1"/>
    <n v="11.5825"/>
    <n v="13.636049999999999"/>
    <x v="2"/>
    <n v="31.125"/>
    <x v="3"/>
    <n v="16.083349999999999"/>
    <x v="1"/>
    <n v="558"/>
    <n v="2685"/>
    <n v="3243"/>
  </r>
  <r>
    <n v="395"/>
    <s v="30/01/2019"/>
    <x v="0"/>
    <n v="2019"/>
    <x v="0"/>
    <x v="0"/>
    <x v="2"/>
    <x v="1"/>
    <x v="1"/>
    <n v="11.035847"/>
    <n v="13.13125"/>
    <x v="2"/>
    <n v="40.083300000000001"/>
    <x v="2"/>
    <n v="14.458064"/>
    <x v="0"/>
    <n v="126"/>
    <n v="3498"/>
    <n v="3624"/>
  </r>
  <r>
    <n v="396"/>
    <s v="31/01/2019"/>
    <x v="0"/>
    <n v="2019"/>
    <x v="0"/>
    <x v="0"/>
    <x v="3"/>
    <x v="1"/>
    <x v="1"/>
    <n v="15.99"/>
    <n v="19.065850000000001"/>
    <x v="0"/>
    <n v="41.666699999999999"/>
    <x v="2"/>
    <n v="17.541739"/>
    <x v="1"/>
    <n v="324"/>
    <n v="4185"/>
    <n v="4509"/>
  </r>
  <r>
    <n v="397"/>
    <d v="2019-01-02T00:00:00"/>
    <x v="0"/>
    <n v="2019"/>
    <x v="1"/>
    <x v="0"/>
    <x v="4"/>
    <x v="1"/>
    <x v="1"/>
    <n v="19.235847"/>
    <n v="23.326899999999998"/>
    <x v="4"/>
    <n v="50.791699999999999"/>
    <x v="2"/>
    <n v="12.667489"/>
    <x v="0"/>
    <n v="304"/>
    <n v="4275"/>
    <n v="4579"/>
  </r>
  <r>
    <n v="398"/>
    <d v="2019-02-02T00:00:00"/>
    <x v="0"/>
    <n v="2019"/>
    <x v="1"/>
    <x v="0"/>
    <x v="5"/>
    <x v="1"/>
    <x v="0"/>
    <n v="16.365846999999999"/>
    <n v="19.948550000000001"/>
    <x v="0"/>
    <n v="67.291700000000006"/>
    <x v="1"/>
    <n v="12.541529000000001"/>
    <x v="0"/>
    <n v="190"/>
    <n v="3571"/>
    <n v="3761"/>
  </r>
  <r>
    <n v="399"/>
    <d v="2019-03-02T00:00:00"/>
    <x v="0"/>
    <n v="2019"/>
    <x v="1"/>
    <x v="0"/>
    <x v="6"/>
    <x v="1"/>
    <x v="1"/>
    <n v="12.846653"/>
    <n v="15.4673"/>
    <x v="0"/>
    <n v="52.666699999999999"/>
    <x v="2"/>
    <n v="11.959232"/>
    <x v="0"/>
    <n v="310"/>
    <n v="3841"/>
    <n v="4151"/>
  </r>
  <r>
    <n v="400"/>
    <d v="2019-04-02T00:00:00"/>
    <x v="0"/>
    <n v="2019"/>
    <x v="1"/>
    <x v="0"/>
    <x v="0"/>
    <x v="0"/>
    <x v="0"/>
    <n v="10.830847"/>
    <n v="13.63625"/>
    <x v="2"/>
    <n v="77.958299999999994"/>
    <x v="1"/>
    <n v="8.1670320000000007"/>
    <x v="2"/>
    <n v="384"/>
    <n v="2448"/>
    <n v="2832"/>
  </r>
  <r>
    <n v="401"/>
    <d v="2019-05-02T00:00:00"/>
    <x v="0"/>
    <n v="2019"/>
    <x v="1"/>
    <x v="0"/>
    <x v="1"/>
    <x v="0"/>
    <x v="0"/>
    <n v="10.899153"/>
    <n v="13.226050000000001"/>
    <x v="2"/>
    <n v="68.791700000000006"/>
    <x v="1"/>
    <n v="11.791732"/>
    <x v="0"/>
    <n v="318"/>
    <n v="2629"/>
    <n v="2947"/>
  </r>
  <r>
    <n v="402"/>
    <d v="2019-06-02T00:00:00"/>
    <x v="0"/>
    <n v="2019"/>
    <x v="1"/>
    <x v="0"/>
    <x v="2"/>
    <x v="1"/>
    <x v="1"/>
    <n v="11.586969"/>
    <n v="14.821300000000001"/>
    <x v="2"/>
    <n v="62.217399999999998"/>
    <x v="1"/>
    <n v="10.304600000000001"/>
    <x v="0"/>
    <n v="206"/>
    <n v="3578"/>
    <n v="3784"/>
  </r>
  <r>
    <n v="403"/>
    <d v="2019-07-02T00:00:00"/>
    <x v="0"/>
    <n v="2019"/>
    <x v="1"/>
    <x v="0"/>
    <x v="3"/>
    <x v="1"/>
    <x v="1"/>
    <n v="14.520847"/>
    <n v="18.055199999999999"/>
    <x v="0"/>
    <n v="49.625"/>
    <x v="2"/>
    <n v="9.8743929999999995"/>
    <x v="2"/>
    <n v="199"/>
    <n v="4176"/>
    <n v="4375"/>
  </r>
  <r>
    <n v="404"/>
    <d v="2019-08-02T00:00:00"/>
    <x v="0"/>
    <n v="2019"/>
    <x v="1"/>
    <x v="0"/>
    <x v="4"/>
    <x v="1"/>
    <x v="0"/>
    <n v="10.523346999999999"/>
    <n v="13.32105"/>
    <x v="2"/>
    <n v="72.291700000000006"/>
    <x v="1"/>
    <n v="8.9593070000000008"/>
    <x v="2"/>
    <n v="109"/>
    <n v="2693"/>
    <n v="2802"/>
  </r>
  <r>
    <n v="405"/>
    <d v="2019-09-02T00:00:00"/>
    <x v="0"/>
    <n v="2019"/>
    <x v="1"/>
    <x v="0"/>
    <x v="5"/>
    <x v="1"/>
    <x v="1"/>
    <n v="10.865"/>
    <n v="13.099399999999999"/>
    <x v="2"/>
    <n v="56.208300000000001"/>
    <x v="2"/>
    <n v="13.000479"/>
    <x v="0"/>
    <n v="163"/>
    <n v="3667"/>
    <n v="3830"/>
  </r>
  <r>
    <n v="406"/>
    <d v="2019-10-02T00:00:00"/>
    <x v="0"/>
    <n v="2019"/>
    <x v="1"/>
    <x v="0"/>
    <x v="6"/>
    <x v="1"/>
    <x v="0"/>
    <n v="11.514153"/>
    <n v="14.677899999999999"/>
    <x v="2"/>
    <n v="54"/>
    <x v="2"/>
    <n v="7.8342429999999998"/>
    <x v="2"/>
    <n v="227"/>
    <n v="3604"/>
    <n v="3831"/>
  </r>
  <r>
    <n v="407"/>
    <d v="2019-11-02T00:00:00"/>
    <x v="0"/>
    <n v="2019"/>
    <x v="1"/>
    <x v="0"/>
    <x v="0"/>
    <x v="0"/>
    <x v="2"/>
    <n v="9.1908469999999998"/>
    <n v="10.54335"/>
    <x v="2"/>
    <n v="73.125"/>
    <x v="1"/>
    <n v="19.416332000000001"/>
    <x v="1"/>
    <n v="192"/>
    <n v="1977"/>
    <n v="2169"/>
  </r>
  <r>
    <n v="408"/>
    <d v="2019-12-02T00:00:00"/>
    <x v="0"/>
    <n v="2019"/>
    <x v="1"/>
    <x v="0"/>
    <x v="1"/>
    <x v="0"/>
    <x v="1"/>
    <n v="5.2275"/>
    <n v="5.0829000000000004"/>
    <x v="1"/>
    <n v="46.458300000000001"/>
    <x v="2"/>
    <n v="27.417204000000002"/>
    <x v="5"/>
    <n v="73"/>
    <n v="1456"/>
    <n v="1529"/>
  </r>
  <r>
    <n v="409"/>
    <s v="13/02/2019"/>
    <x v="0"/>
    <n v="2019"/>
    <x v="1"/>
    <x v="0"/>
    <x v="2"/>
    <x v="1"/>
    <x v="1"/>
    <n v="9.1225000000000005"/>
    <n v="11.39565"/>
    <x v="2"/>
    <n v="41.125"/>
    <x v="2"/>
    <n v="11.207960999999999"/>
    <x v="0"/>
    <n v="94"/>
    <n v="3328"/>
    <n v="3422"/>
  </r>
  <r>
    <n v="410"/>
    <s v="14/02/2019"/>
    <x v="0"/>
    <n v="2019"/>
    <x v="1"/>
    <x v="0"/>
    <x v="3"/>
    <x v="1"/>
    <x v="0"/>
    <n v="13.085846999999999"/>
    <n v="16.697299999999998"/>
    <x v="0"/>
    <n v="50.875"/>
    <x v="2"/>
    <n v="9.4589929999999995"/>
    <x v="2"/>
    <n v="135"/>
    <n v="3787"/>
    <n v="3922"/>
  </r>
  <r>
    <n v="411"/>
    <s v="15/02/2019"/>
    <x v="0"/>
    <n v="2019"/>
    <x v="1"/>
    <x v="0"/>
    <x v="4"/>
    <x v="1"/>
    <x v="1"/>
    <n v="14.281653"/>
    <n v="17.58145"/>
    <x v="0"/>
    <n v="53.125"/>
    <x v="2"/>
    <n v="12.167199999999999"/>
    <x v="0"/>
    <n v="141"/>
    <n v="4028"/>
    <n v="4169"/>
  </r>
  <r>
    <n v="412"/>
    <s v="16/02/2019"/>
    <x v="0"/>
    <n v="2019"/>
    <x v="1"/>
    <x v="0"/>
    <x v="5"/>
    <x v="1"/>
    <x v="0"/>
    <n v="12.983347"/>
    <n v="16.508099999999999"/>
    <x v="0"/>
    <n v="75.291700000000006"/>
    <x v="1"/>
    <n v="6.1254749999999998"/>
    <x v="2"/>
    <n v="74"/>
    <n v="2931"/>
    <n v="3005"/>
  </r>
  <r>
    <n v="413"/>
    <s v="17/02/2019"/>
    <x v="0"/>
    <n v="2019"/>
    <x v="1"/>
    <x v="0"/>
    <x v="6"/>
    <x v="1"/>
    <x v="1"/>
    <n v="14.076653"/>
    <n v="17.58145"/>
    <x v="0"/>
    <n v="63.458300000000001"/>
    <x v="1"/>
    <n v="13.791682"/>
    <x v="0"/>
    <n v="349"/>
    <n v="3805"/>
    <n v="4154"/>
  </r>
  <r>
    <n v="414"/>
    <s v="18/02/2019"/>
    <x v="0"/>
    <n v="2019"/>
    <x v="1"/>
    <x v="0"/>
    <x v="0"/>
    <x v="0"/>
    <x v="1"/>
    <n v="14.213347000000001"/>
    <n v="17.771249999999998"/>
    <x v="0"/>
    <n v="53.458300000000001"/>
    <x v="2"/>
    <n v="12.792242999999999"/>
    <x v="0"/>
    <n v="1435"/>
    <n v="2883"/>
    <n v="4318"/>
  </r>
  <r>
    <n v="415"/>
    <s v="19/02/2019"/>
    <x v="0"/>
    <n v="2019"/>
    <x v="1"/>
    <x v="0"/>
    <x v="1"/>
    <x v="0"/>
    <x v="0"/>
    <n v="11.48"/>
    <n v="13.289400000000001"/>
    <x v="2"/>
    <n v="51.583300000000001"/>
    <x v="2"/>
    <n v="16.958504000000001"/>
    <x v="1"/>
    <n v="618"/>
    <n v="2071"/>
    <n v="2689"/>
  </r>
  <r>
    <n v="416"/>
    <s v="20/02/2019"/>
    <x v="0"/>
    <n v="2019"/>
    <x v="1"/>
    <x v="1"/>
    <x v="2"/>
    <x v="0"/>
    <x v="1"/>
    <n v="11.48"/>
    <n v="13.669549999999999"/>
    <x v="2"/>
    <n v="50.782600000000002"/>
    <x v="2"/>
    <n v="15.348561"/>
    <x v="1"/>
    <n v="502"/>
    <n v="2627"/>
    <n v="3129"/>
  </r>
  <r>
    <n v="417"/>
    <s v="21/02/2019"/>
    <x v="0"/>
    <n v="2019"/>
    <x v="1"/>
    <x v="0"/>
    <x v="3"/>
    <x v="1"/>
    <x v="1"/>
    <n v="11.800865999999999"/>
    <n v="14.755649999999999"/>
    <x v="2"/>
    <n v="59.434800000000003"/>
    <x v="2"/>
    <n v="13.783039"/>
    <x v="0"/>
    <n v="163"/>
    <n v="3614"/>
    <n v="3777"/>
  </r>
  <r>
    <n v="418"/>
    <s v="22/02/2019"/>
    <x v="0"/>
    <n v="2019"/>
    <x v="1"/>
    <x v="0"/>
    <x v="4"/>
    <x v="1"/>
    <x v="1"/>
    <n v="16.229153"/>
    <n v="19.63335"/>
    <x v="0"/>
    <n v="56.791699999999999"/>
    <x v="2"/>
    <n v="15.709557"/>
    <x v="1"/>
    <n v="394"/>
    <n v="4379"/>
    <n v="4773"/>
  </r>
  <r>
    <n v="419"/>
    <s v="23/02/2019"/>
    <x v="0"/>
    <n v="2019"/>
    <x v="1"/>
    <x v="0"/>
    <x v="5"/>
    <x v="1"/>
    <x v="1"/>
    <n v="18.620847000000001"/>
    <n v="22.222300000000001"/>
    <x v="4"/>
    <n v="55.458300000000001"/>
    <x v="2"/>
    <n v="12.791171"/>
    <x v="0"/>
    <n v="516"/>
    <n v="4546"/>
    <n v="5062"/>
  </r>
  <r>
    <n v="420"/>
    <s v="24/02/2019"/>
    <x v="0"/>
    <n v="2019"/>
    <x v="1"/>
    <x v="0"/>
    <x v="6"/>
    <x v="1"/>
    <x v="0"/>
    <n v="16.7075"/>
    <n v="20.548549999999999"/>
    <x v="4"/>
    <n v="73.75"/>
    <x v="1"/>
    <n v="15.916988999999999"/>
    <x v="1"/>
    <n v="246"/>
    <n v="3241"/>
    <n v="3487"/>
  </r>
  <r>
    <n v="421"/>
    <s v="25/02/2019"/>
    <x v="0"/>
    <n v="2019"/>
    <x v="1"/>
    <x v="0"/>
    <x v="0"/>
    <x v="0"/>
    <x v="1"/>
    <n v="11.924153"/>
    <n v="12.78375"/>
    <x v="2"/>
    <n v="39.583300000000001"/>
    <x v="3"/>
    <n v="28.250014"/>
    <x v="5"/>
    <n v="317"/>
    <n v="2415"/>
    <n v="2732"/>
  </r>
  <r>
    <n v="422"/>
    <s v="26/02/2019"/>
    <x v="0"/>
    <n v="2019"/>
    <x v="1"/>
    <x v="0"/>
    <x v="1"/>
    <x v="0"/>
    <x v="1"/>
    <n v="11.445847000000001"/>
    <n v="13.4154"/>
    <x v="2"/>
    <n v="41"/>
    <x v="2"/>
    <n v="13.750343000000001"/>
    <x v="0"/>
    <n v="515"/>
    <n v="2874"/>
    <n v="3389"/>
  </r>
  <r>
    <n v="423"/>
    <s v="27/02/2019"/>
    <x v="0"/>
    <n v="2019"/>
    <x v="1"/>
    <x v="0"/>
    <x v="2"/>
    <x v="1"/>
    <x v="1"/>
    <n v="15.033346999999999"/>
    <n v="17.8977"/>
    <x v="0"/>
    <n v="49.083300000000001"/>
    <x v="2"/>
    <n v="17.958210999999999"/>
    <x v="1"/>
    <n v="253"/>
    <n v="4069"/>
    <n v="4322"/>
  </r>
  <r>
    <n v="424"/>
    <s v="28/02/2019"/>
    <x v="0"/>
    <n v="2019"/>
    <x v="1"/>
    <x v="0"/>
    <x v="3"/>
    <x v="1"/>
    <x v="1"/>
    <n v="14.725847"/>
    <n v="17.67625"/>
    <x v="0"/>
    <n v="39.583300000000001"/>
    <x v="3"/>
    <n v="12.958939000000001"/>
    <x v="0"/>
    <n v="229"/>
    <n v="4134"/>
    <n v="4363"/>
  </r>
  <r>
    <n v="425"/>
    <d v="2019-01-03T00:00:00"/>
    <x v="0"/>
    <n v="2019"/>
    <x v="2"/>
    <x v="0"/>
    <x v="5"/>
    <x v="1"/>
    <x v="1"/>
    <n v="19.919153000000001"/>
    <n v="23.768550000000001"/>
    <x v="4"/>
    <n v="61.541699999999999"/>
    <x v="1"/>
    <n v="15.208129"/>
    <x v="1"/>
    <n v="325"/>
    <n v="4665"/>
    <n v="4990"/>
  </r>
  <r>
    <n v="426"/>
    <d v="2019-02-03T00:00:00"/>
    <x v="0"/>
    <n v="2019"/>
    <x v="2"/>
    <x v="0"/>
    <x v="6"/>
    <x v="1"/>
    <x v="0"/>
    <n v="14.486653"/>
    <n v="17.992100000000001"/>
    <x v="0"/>
    <n v="65.708299999999994"/>
    <x v="1"/>
    <n v="9.7085679999999996"/>
    <x v="2"/>
    <n v="246"/>
    <n v="2948"/>
    <n v="3194"/>
  </r>
  <r>
    <n v="427"/>
    <d v="2019-03-03T00:00:00"/>
    <x v="0"/>
    <n v="2019"/>
    <x v="2"/>
    <x v="0"/>
    <x v="0"/>
    <x v="0"/>
    <x v="0"/>
    <n v="16.980847000000001"/>
    <n v="20.674600000000002"/>
    <x v="4"/>
    <n v="62.125"/>
    <x v="1"/>
    <n v="10.792293000000001"/>
    <x v="0"/>
    <n v="956"/>
    <n v="3110"/>
    <n v="4066"/>
  </r>
  <r>
    <n v="428"/>
    <d v="2019-04-03T00:00:00"/>
    <x v="0"/>
    <n v="2019"/>
    <x v="2"/>
    <x v="0"/>
    <x v="1"/>
    <x v="0"/>
    <x v="1"/>
    <n v="13.359152999999999"/>
    <n v="15.15105"/>
    <x v="0"/>
    <n v="40.333300000000001"/>
    <x v="2"/>
    <n v="22.416257000000002"/>
    <x v="3"/>
    <n v="710"/>
    <n v="2713"/>
    <n v="3423"/>
  </r>
  <r>
    <n v="429"/>
    <d v="2019-05-03T00:00:00"/>
    <x v="0"/>
    <n v="2019"/>
    <x v="2"/>
    <x v="0"/>
    <x v="2"/>
    <x v="1"/>
    <x v="1"/>
    <n v="9.9766530000000007"/>
    <n v="12.05855"/>
    <x v="2"/>
    <n v="50.625"/>
    <x v="2"/>
    <n v="15.333486000000001"/>
    <x v="1"/>
    <n v="203"/>
    <n v="3130"/>
    <n v="3333"/>
  </r>
  <r>
    <n v="430"/>
    <d v="2019-06-03T00:00:00"/>
    <x v="0"/>
    <n v="2019"/>
    <x v="2"/>
    <x v="0"/>
    <x v="3"/>
    <x v="1"/>
    <x v="1"/>
    <n v="10.591653000000001"/>
    <n v="12.7521"/>
    <x v="2"/>
    <n v="45.666699999999999"/>
    <x v="2"/>
    <n v="13.458625"/>
    <x v="0"/>
    <n v="221"/>
    <n v="3735"/>
    <n v="3956"/>
  </r>
  <r>
    <n v="431"/>
    <d v="2019-07-03T00:00:00"/>
    <x v="0"/>
    <n v="2019"/>
    <x v="2"/>
    <x v="0"/>
    <x v="4"/>
    <x v="1"/>
    <x v="1"/>
    <n v="16.570847000000001"/>
    <n v="19.254999999999999"/>
    <x v="0"/>
    <n v="51.333300000000001"/>
    <x v="2"/>
    <n v="23.167193000000001"/>
    <x v="3"/>
    <n v="432"/>
    <n v="4484"/>
    <n v="4916"/>
  </r>
  <r>
    <n v="432"/>
    <d v="2019-08-03T00:00:00"/>
    <x v="0"/>
    <n v="2019"/>
    <x v="2"/>
    <x v="0"/>
    <x v="5"/>
    <x v="1"/>
    <x v="1"/>
    <n v="21.627500000000001"/>
    <n v="26.2302"/>
    <x v="5"/>
    <n v="56.75"/>
    <x v="2"/>
    <n v="29.584720999999998"/>
    <x v="5"/>
    <n v="486"/>
    <n v="4896"/>
    <n v="5382"/>
  </r>
  <r>
    <n v="433"/>
    <d v="2019-09-03T00:00:00"/>
    <x v="0"/>
    <n v="2019"/>
    <x v="2"/>
    <x v="0"/>
    <x v="6"/>
    <x v="1"/>
    <x v="0"/>
    <n v="16.844152999999999"/>
    <n v="19.854150000000001"/>
    <x v="0"/>
    <n v="40.708300000000001"/>
    <x v="2"/>
    <n v="27.791599999999999"/>
    <x v="5"/>
    <n v="447"/>
    <n v="4122"/>
    <n v="4569"/>
  </r>
  <r>
    <n v="434"/>
    <d v="2019-10-03T00:00:00"/>
    <x v="0"/>
    <n v="2019"/>
    <x v="2"/>
    <x v="0"/>
    <x v="0"/>
    <x v="0"/>
    <x v="1"/>
    <n v="11.7875"/>
    <n v="13.888350000000001"/>
    <x v="2"/>
    <n v="35.041699999999999"/>
    <x v="3"/>
    <n v="15.125249999999999"/>
    <x v="1"/>
    <n v="968"/>
    <n v="3150"/>
    <n v="4118"/>
  </r>
  <r>
    <n v="435"/>
    <d v="2019-11-03T00:00:00"/>
    <x v="0"/>
    <n v="2019"/>
    <x v="2"/>
    <x v="0"/>
    <x v="1"/>
    <x v="0"/>
    <x v="1"/>
    <n v="14.831299"/>
    <n v="17.983499999999999"/>
    <x v="0"/>
    <n v="47.695700000000002"/>
    <x v="2"/>
    <n v="14.913328999999999"/>
    <x v="0"/>
    <n v="1658"/>
    <n v="3253"/>
    <n v="4911"/>
  </r>
  <r>
    <n v="436"/>
    <d v="2019-12-03T00:00:00"/>
    <x v="0"/>
    <n v="2019"/>
    <x v="2"/>
    <x v="0"/>
    <x v="2"/>
    <x v="1"/>
    <x v="1"/>
    <n v="19.133347000000001"/>
    <n v="22.979600000000001"/>
    <x v="4"/>
    <n v="48.916699999999999"/>
    <x v="2"/>
    <n v="13.916771000000001"/>
    <x v="0"/>
    <n v="838"/>
    <n v="4460"/>
    <n v="5298"/>
  </r>
  <r>
    <n v="437"/>
    <s v="13/03/2019"/>
    <x v="0"/>
    <n v="2019"/>
    <x v="2"/>
    <x v="0"/>
    <x v="3"/>
    <x v="1"/>
    <x v="1"/>
    <n v="23.164999999999999"/>
    <n v="27.146450000000002"/>
    <x v="5"/>
    <n v="61.75"/>
    <x v="1"/>
    <n v="15.87565"/>
    <x v="1"/>
    <n v="762"/>
    <n v="5085"/>
    <n v="5847"/>
  </r>
  <r>
    <n v="438"/>
    <s v="14/03/2019"/>
    <x v="0"/>
    <n v="2019"/>
    <x v="2"/>
    <x v="0"/>
    <x v="4"/>
    <x v="1"/>
    <x v="1"/>
    <n v="23.4725"/>
    <n v="27.43085"/>
    <x v="5"/>
    <n v="50.708300000000001"/>
    <x v="2"/>
    <n v="7.7091539999999998"/>
    <x v="2"/>
    <n v="997"/>
    <n v="5315"/>
    <n v="6312"/>
  </r>
  <r>
    <n v="439"/>
    <s v="15/03/2019"/>
    <x v="0"/>
    <n v="2019"/>
    <x v="2"/>
    <x v="0"/>
    <x v="5"/>
    <x v="1"/>
    <x v="1"/>
    <n v="22.857500000000002"/>
    <n v="26.641249999999999"/>
    <x v="5"/>
    <n v="57.958300000000001"/>
    <x v="2"/>
    <n v="10.042161"/>
    <x v="0"/>
    <n v="1005"/>
    <n v="5187"/>
    <n v="6192"/>
  </r>
  <r>
    <n v="440"/>
    <s v="16/03/2019"/>
    <x v="0"/>
    <n v="2019"/>
    <x v="2"/>
    <x v="0"/>
    <x v="6"/>
    <x v="1"/>
    <x v="0"/>
    <n v="17.869153000000001"/>
    <n v="21.811450000000001"/>
    <x v="4"/>
    <n v="84.208299999999994"/>
    <x v="0"/>
    <n v="7.5838640000000002"/>
    <x v="2"/>
    <n v="548"/>
    <n v="3830"/>
    <n v="4378"/>
  </r>
  <r>
    <n v="441"/>
    <s v="17/03/2019"/>
    <x v="0"/>
    <n v="2019"/>
    <x v="2"/>
    <x v="0"/>
    <x v="0"/>
    <x v="0"/>
    <x v="0"/>
    <n v="21.080846999999999"/>
    <n v="25.252300000000002"/>
    <x v="5"/>
    <n v="75.583299999999994"/>
    <x v="1"/>
    <n v="7.4171680000000002"/>
    <x v="2"/>
    <n v="3155"/>
    <n v="4681"/>
    <n v="7836"/>
  </r>
  <r>
    <n v="442"/>
    <s v="18/03/2019"/>
    <x v="0"/>
    <n v="2019"/>
    <x v="2"/>
    <x v="0"/>
    <x v="1"/>
    <x v="0"/>
    <x v="0"/>
    <n v="19.372499999999999"/>
    <n v="23.2"/>
    <x v="4"/>
    <n v="81"/>
    <x v="0"/>
    <n v="8.5011609999999997"/>
    <x v="2"/>
    <n v="2207"/>
    <n v="3685"/>
    <n v="5892"/>
  </r>
  <r>
    <n v="443"/>
    <s v="19/03/2019"/>
    <x v="0"/>
    <n v="2019"/>
    <x v="2"/>
    <x v="0"/>
    <x v="2"/>
    <x v="1"/>
    <x v="1"/>
    <n v="22.344999999999999"/>
    <n v="26.64105"/>
    <x v="5"/>
    <n v="72.875"/>
    <x v="1"/>
    <n v="10.875239000000001"/>
    <x v="0"/>
    <n v="982"/>
    <n v="5171"/>
    <n v="6153"/>
  </r>
  <r>
    <n v="444"/>
    <s v="20/03/2019"/>
    <x v="0"/>
    <n v="2019"/>
    <x v="2"/>
    <x v="0"/>
    <x v="3"/>
    <x v="1"/>
    <x v="1"/>
    <n v="22.994153000000001"/>
    <n v="26.926649999999999"/>
    <x v="5"/>
    <n v="80.791700000000006"/>
    <x v="0"/>
    <n v="8.1251569999999997"/>
    <x v="2"/>
    <n v="1051"/>
    <n v="5042"/>
    <n v="6093"/>
  </r>
  <r>
    <n v="445"/>
    <s v="21/03/2019"/>
    <x v="1"/>
    <n v="2019"/>
    <x v="2"/>
    <x v="0"/>
    <x v="4"/>
    <x v="1"/>
    <x v="0"/>
    <n v="21.798347"/>
    <n v="25.6629"/>
    <x v="5"/>
    <n v="82.125"/>
    <x v="0"/>
    <n v="6.0004061000000002"/>
    <x v="2"/>
    <n v="1122"/>
    <n v="5108"/>
    <n v="6230"/>
  </r>
  <r>
    <n v="446"/>
    <s v="22/03/2019"/>
    <x v="1"/>
    <n v="2019"/>
    <x v="2"/>
    <x v="0"/>
    <x v="5"/>
    <x v="1"/>
    <x v="1"/>
    <n v="22.720846999999999"/>
    <n v="26.57835"/>
    <x v="5"/>
    <n v="83.125"/>
    <x v="0"/>
    <n v="7.8766540000000003"/>
    <x v="2"/>
    <n v="1334"/>
    <n v="5537"/>
    <n v="6871"/>
  </r>
  <r>
    <n v="447"/>
    <s v="23/03/2019"/>
    <x v="1"/>
    <n v="2019"/>
    <x v="2"/>
    <x v="0"/>
    <x v="6"/>
    <x v="1"/>
    <x v="0"/>
    <n v="24.668347000000001"/>
    <n v="28.503350000000001"/>
    <x v="5"/>
    <n v="69.416700000000006"/>
    <x v="1"/>
    <n v="7.7920999999999996"/>
    <x v="2"/>
    <n v="2469"/>
    <n v="5893"/>
    <n v="8362"/>
  </r>
  <r>
    <n v="448"/>
    <s v="24/03/2019"/>
    <x v="1"/>
    <n v="2019"/>
    <x v="2"/>
    <x v="0"/>
    <x v="0"/>
    <x v="0"/>
    <x v="0"/>
    <n v="20.602499999999999"/>
    <n v="24.336649999999999"/>
    <x v="4"/>
    <n v="88.541700000000006"/>
    <x v="0"/>
    <n v="12.916461"/>
    <x v="0"/>
    <n v="1033"/>
    <n v="2339"/>
    <n v="3372"/>
  </r>
  <r>
    <n v="449"/>
    <s v="25/03/2019"/>
    <x v="1"/>
    <n v="2019"/>
    <x v="2"/>
    <x v="0"/>
    <x v="1"/>
    <x v="0"/>
    <x v="0"/>
    <n v="17.9375"/>
    <n v="21.874400000000001"/>
    <x v="4"/>
    <n v="88.083299999999994"/>
    <x v="0"/>
    <n v="14.791925000000001"/>
    <x v="0"/>
    <n v="1532"/>
    <n v="3464"/>
    <n v="4996"/>
  </r>
  <r>
    <n v="450"/>
    <s v="26/03/2019"/>
    <x v="1"/>
    <n v="2019"/>
    <x v="2"/>
    <x v="0"/>
    <x v="2"/>
    <x v="1"/>
    <x v="1"/>
    <n v="18.279153000000001"/>
    <n v="21.9375"/>
    <x v="4"/>
    <n v="47.791699999999999"/>
    <x v="2"/>
    <n v="25.917007000000002"/>
    <x v="5"/>
    <n v="795"/>
    <n v="4763"/>
    <n v="5558"/>
  </r>
  <r>
    <n v="451"/>
    <s v="27/03/2019"/>
    <x v="1"/>
    <n v="2019"/>
    <x v="2"/>
    <x v="0"/>
    <x v="3"/>
    <x v="1"/>
    <x v="1"/>
    <n v="13.256653"/>
    <n v="15.7827"/>
    <x v="0"/>
    <n v="29"/>
    <x v="3"/>
    <n v="12.541864"/>
    <x v="0"/>
    <n v="531"/>
    <n v="4571"/>
    <n v="5102"/>
  </r>
  <r>
    <n v="452"/>
    <s v="28/03/2019"/>
    <x v="1"/>
    <n v="2019"/>
    <x v="2"/>
    <x v="0"/>
    <x v="4"/>
    <x v="1"/>
    <x v="1"/>
    <n v="19.850847000000002"/>
    <n v="23.547499999999999"/>
    <x v="4"/>
    <n v="48.125"/>
    <x v="2"/>
    <n v="19.541957"/>
    <x v="1"/>
    <n v="674"/>
    <n v="5024"/>
    <n v="5698"/>
  </r>
  <r>
    <n v="453"/>
    <s v="29/03/2019"/>
    <x v="1"/>
    <n v="2019"/>
    <x v="2"/>
    <x v="0"/>
    <x v="5"/>
    <x v="1"/>
    <x v="1"/>
    <n v="20.260846999999998"/>
    <n v="24.115200000000002"/>
    <x v="4"/>
    <n v="43.916699999999999"/>
    <x v="2"/>
    <n v="21.416550000000001"/>
    <x v="3"/>
    <n v="834"/>
    <n v="5299"/>
    <n v="6133"/>
  </r>
  <r>
    <n v="454"/>
    <s v="30/03/2019"/>
    <x v="1"/>
    <n v="2019"/>
    <x v="2"/>
    <x v="0"/>
    <x v="6"/>
    <x v="1"/>
    <x v="0"/>
    <n v="15.17"/>
    <n v="18.78105"/>
    <x v="0"/>
    <n v="58.083300000000001"/>
    <x v="2"/>
    <n v="9.250489"/>
    <x v="2"/>
    <n v="796"/>
    <n v="4663"/>
    <n v="5459"/>
  </r>
  <r>
    <n v="455"/>
    <s v="31/03/2019"/>
    <x v="1"/>
    <n v="2019"/>
    <x v="2"/>
    <x v="0"/>
    <x v="0"/>
    <x v="0"/>
    <x v="0"/>
    <n v="17.390847000000001"/>
    <n v="21.0854"/>
    <x v="4"/>
    <n v="73.833299999999994"/>
    <x v="1"/>
    <n v="16.791339000000001"/>
    <x v="1"/>
    <n v="2301"/>
    <n v="3934"/>
    <n v="6235"/>
  </r>
  <r>
    <n v="456"/>
    <d v="2019-01-04T00:00:00"/>
    <x v="1"/>
    <n v="2019"/>
    <x v="3"/>
    <x v="0"/>
    <x v="1"/>
    <x v="0"/>
    <x v="0"/>
    <n v="17.459153000000001"/>
    <n v="20.864350000000002"/>
    <x v="4"/>
    <n v="67.625"/>
    <x v="1"/>
    <n v="11.541888999999999"/>
    <x v="0"/>
    <n v="2347"/>
    <n v="3694"/>
    <n v="6041"/>
  </r>
  <r>
    <n v="457"/>
    <d v="2019-02-04T00:00:00"/>
    <x v="1"/>
    <n v="2019"/>
    <x v="3"/>
    <x v="0"/>
    <x v="2"/>
    <x v="1"/>
    <x v="1"/>
    <n v="17.790433"/>
    <n v="21.37565"/>
    <x v="4"/>
    <n v="50.434800000000003"/>
    <x v="2"/>
    <n v="20.913312999999999"/>
    <x v="3"/>
    <n v="1208"/>
    <n v="4728"/>
    <n v="5936"/>
  </r>
  <r>
    <n v="458"/>
    <d v="2019-03-04T00:00:00"/>
    <x v="1"/>
    <n v="2019"/>
    <x v="3"/>
    <x v="0"/>
    <x v="3"/>
    <x v="1"/>
    <x v="1"/>
    <n v="19.133347000000001"/>
    <n v="23.074149999999999"/>
    <x v="4"/>
    <n v="39.666699999999999"/>
    <x v="3"/>
    <n v="6.7089109999999996"/>
    <x v="2"/>
    <n v="1348"/>
    <n v="5424"/>
    <n v="6772"/>
  </r>
  <r>
    <n v="459"/>
    <d v="2019-04-04T00:00:00"/>
    <x v="1"/>
    <n v="2019"/>
    <x v="3"/>
    <x v="0"/>
    <x v="4"/>
    <x v="1"/>
    <x v="1"/>
    <n v="22.208347"/>
    <n v="26.672499999999999"/>
    <x v="5"/>
    <n v="46.958300000000001"/>
    <x v="2"/>
    <n v="12.125325"/>
    <x v="0"/>
    <n v="1058"/>
    <n v="5378"/>
    <n v="6436"/>
  </r>
  <r>
    <n v="460"/>
    <d v="2019-05-04T00:00:00"/>
    <x v="1"/>
    <n v="2019"/>
    <x v="3"/>
    <x v="0"/>
    <x v="5"/>
    <x v="1"/>
    <x v="1"/>
    <n v="17.835000000000001"/>
    <n v="21.558150000000001"/>
    <x v="4"/>
    <n v="37.416699999999999"/>
    <x v="3"/>
    <n v="14.708443000000001"/>
    <x v="0"/>
    <n v="1192"/>
    <n v="5265"/>
    <n v="6457"/>
  </r>
  <r>
    <n v="461"/>
    <d v="2019-06-04T00:00:00"/>
    <x v="1"/>
    <n v="2019"/>
    <x v="3"/>
    <x v="0"/>
    <x v="6"/>
    <x v="1"/>
    <x v="1"/>
    <n v="16.536653000000001"/>
    <n v="19.538350000000001"/>
    <x v="0"/>
    <n v="37.708300000000001"/>
    <x v="3"/>
    <n v="20.125996000000001"/>
    <x v="3"/>
    <n v="1807"/>
    <n v="4653"/>
    <n v="6460"/>
  </r>
  <r>
    <n v="462"/>
    <d v="2019-07-04T00:00:00"/>
    <x v="1"/>
    <n v="2019"/>
    <x v="3"/>
    <x v="0"/>
    <x v="0"/>
    <x v="0"/>
    <x v="1"/>
    <n v="17.9375"/>
    <n v="21.306450000000002"/>
    <x v="4"/>
    <n v="25.416699999999999"/>
    <x v="3"/>
    <n v="18.416357000000001"/>
    <x v="1"/>
    <n v="3252"/>
    <n v="3605"/>
    <n v="6857"/>
  </r>
  <r>
    <n v="463"/>
    <d v="2019-08-04T00:00:00"/>
    <x v="1"/>
    <n v="2019"/>
    <x v="3"/>
    <x v="0"/>
    <x v="1"/>
    <x v="0"/>
    <x v="1"/>
    <n v="20.5"/>
    <n v="24.62125"/>
    <x v="4"/>
    <n v="27.583300000000001"/>
    <x v="3"/>
    <n v="15.583932000000001"/>
    <x v="1"/>
    <n v="2230"/>
    <n v="2939"/>
    <n v="5169"/>
  </r>
  <r>
    <n v="464"/>
    <d v="2019-09-04T00:00:00"/>
    <x v="1"/>
    <n v="2019"/>
    <x v="3"/>
    <x v="0"/>
    <x v="2"/>
    <x v="1"/>
    <x v="1"/>
    <n v="20.055847"/>
    <n v="23.831900000000001"/>
    <x v="4"/>
    <n v="31.75"/>
    <x v="3"/>
    <n v="23.999131999999999"/>
    <x v="3"/>
    <n v="905"/>
    <n v="4680"/>
    <n v="5585"/>
  </r>
  <r>
    <n v="465"/>
    <d v="2019-10-04T00:00:00"/>
    <x v="1"/>
    <n v="2019"/>
    <x v="3"/>
    <x v="0"/>
    <x v="3"/>
    <x v="1"/>
    <x v="1"/>
    <n v="18.313347"/>
    <n v="21.81165"/>
    <x v="4"/>
    <n v="43.5"/>
    <x v="2"/>
    <n v="16.708124999999999"/>
    <x v="1"/>
    <n v="819"/>
    <n v="5099"/>
    <n v="5918"/>
  </r>
  <r>
    <n v="466"/>
    <d v="2019-11-04T00:00:00"/>
    <x v="1"/>
    <n v="2019"/>
    <x v="3"/>
    <x v="0"/>
    <x v="4"/>
    <x v="1"/>
    <x v="1"/>
    <n v="14.296536"/>
    <n v="16.863700000000001"/>
    <x v="0"/>
    <n v="46.956499999999998"/>
    <x v="2"/>
    <n v="19.783358"/>
    <x v="1"/>
    <n v="482"/>
    <n v="4380"/>
    <n v="4862"/>
  </r>
  <r>
    <n v="467"/>
    <d v="2019-12-04T00:00:00"/>
    <x v="1"/>
    <n v="2019"/>
    <x v="3"/>
    <x v="0"/>
    <x v="5"/>
    <x v="1"/>
    <x v="1"/>
    <n v="16.297499999999999"/>
    <n v="19.380199999999999"/>
    <x v="0"/>
    <n v="46.625"/>
    <x v="2"/>
    <n v="19.458742999999998"/>
    <x v="1"/>
    <n v="663"/>
    <n v="4746"/>
    <n v="5409"/>
  </r>
  <r>
    <n v="468"/>
    <s v="13/04/2019"/>
    <x v="1"/>
    <n v="2019"/>
    <x v="3"/>
    <x v="0"/>
    <x v="6"/>
    <x v="1"/>
    <x v="1"/>
    <n v="18.142499999999998"/>
    <n v="21.590399999999999"/>
    <x v="4"/>
    <n v="40.833300000000001"/>
    <x v="2"/>
    <n v="10.416556999999999"/>
    <x v="0"/>
    <n v="1252"/>
    <n v="5146"/>
    <n v="6398"/>
  </r>
  <r>
    <n v="469"/>
    <s v="14/04/2019"/>
    <x v="1"/>
    <n v="2019"/>
    <x v="3"/>
    <x v="0"/>
    <x v="0"/>
    <x v="0"/>
    <x v="1"/>
    <n v="20.295000000000002"/>
    <n v="24.399799999999999"/>
    <x v="4"/>
    <n v="50.291699999999999"/>
    <x v="2"/>
    <n v="12.791439"/>
    <x v="0"/>
    <n v="2795"/>
    <n v="4665"/>
    <n v="7460"/>
  </r>
  <r>
    <n v="470"/>
    <s v="15/04/2019"/>
    <x v="1"/>
    <n v="2019"/>
    <x v="3"/>
    <x v="0"/>
    <x v="1"/>
    <x v="0"/>
    <x v="1"/>
    <n v="24.873346999999999"/>
    <n v="28.693750000000001"/>
    <x v="5"/>
    <n v="50.791699999999999"/>
    <x v="2"/>
    <n v="15.083643"/>
    <x v="1"/>
    <n v="2846"/>
    <n v="4286"/>
    <n v="7132"/>
  </r>
  <r>
    <n v="471"/>
    <s v="16/04/2019"/>
    <x v="1"/>
    <n v="2019"/>
    <x v="3"/>
    <x v="1"/>
    <x v="2"/>
    <x v="0"/>
    <x v="1"/>
    <n v="27.230847000000001"/>
    <n v="30.74625"/>
    <x v="6"/>
    <n v="56.166699999999999"/>
    <x v="2"/>
    <n v="19.083542999999999"/>
    <x v="1"/>
    <n v="1198"/>
    <n v="5172"/>
    <n v="6370"/>
  </r>
  <r>
    <n v="472"/>
    <s v="17/04/2019"/>
    <x v="1"/>
    <n v="2019"/>
    <x v="3"/>
    <x v="0"/>
    <x v="3"/>
    <x v="1"/>
    <x v="1"/>
    <n v="24.941652999999999"/>
    <n v="29.92435"/>
    <x v="5"/>
    <n v="39.041699999999999"/>
    <x v="3"/>
    <n v="18.333143"/>
    <x v="1"/>
    <n v="989"/>
    <n v="5702"/>
    <n v="6691"/>
  </r>
  <r>
    <n v="473"/>
    <s v="18/04/2019"/>
    <x v="1"/>
    <n v="2019"/>
    <x v="3"/>
    <x v="0"/>
    <x v="4"/>
    <x v="1"/>
    <x v="0"/>
    <n v="18.996652999999998"/>
    <n v="22.851900000000001"/>
    <x v="4"/>
    <n v="56.916699999999999"/>
    <x v="2"/>
    <n v="11.250104"/>
    <x v="0"/>
    <n v="347"/>
    <n v="4020"/>
    <n v="4367"/>
  </r>
  <r>
    <n v="474"/>
    <s v="19/04/2019"/>
    <x v="1"/>
    <n v="2019"/>
    <x v="3"/>
    <x v="0"/>
    <x v="5"/>
    <x v="1"/>
    <x v="1"/>
    <n v="20.431653000000001"/>
    <n v="24.6523"/>
    <x v="4"/>
    <n v="61.25"/>
    <x v="1"/>
    <n v="4.4172564000000003"/>
    <x v="4"/>
    <n v="846"/>
    <n v="5719"/>
    <n v="6565"/>
  </r>
  <r>
    <n v="475"/>
    <s v="20/04/2019"/>
    <x v="1"/>
    <n v="2019"/>
    <x v="3"/>
    <x v="0"/>
    <x v="6"/>
    <x v="1"/>
    <x v="1"/>
    <n v="21.593347000000001"/>
    <n v="25.78875"/>
    <x v="5"/>
    <n v="69.458299999999994"/>
    <x v="1"/>
    <n v="10.041357"/>
    <x v="0"/>
    <n v="1340"/>
    <n v="5950"/>
    <n v="7290"/>
  </r>
  <r>
    <n v="476"/>
    <s v="21/04/2019"/>
    <x v="1"/>
    <n v="2019"/>
    <x v="3"/>
    <x v="0"/>
    <x v="0"/>
    <x v="0"/>
    <x v="1"/>
    <n v="23.37"/>
    <n v="27.146049999999999"/>
    <x v="5"/>
    <n v="68.291700000000006"/>
    <x v="1"/>
    <n v="19.000329000000001"/>
    <x v="1"/>
    <n v="2541"/>
    <n v="4083"/>
    <n v="6624"/>
  </r>
  <r>
    <n v="477"/>
    <s v="22/04/2019"/>
    <x v="1"/>
    <n v="2019"/>
    <x v="3"/>
    <x v="0"/>
    <x v="1"/>
    <x v="0"/>
    <x v="2"/>
    <n v="16.263347"/>
    <n v="19.475200000000001"/>
    <x v="0"/>
    <n v="83.541700000000006"/>
    <x v="0"/>
    <n v="23.084582000000001"/>
    <x v="3"/>
    <n v="120"/>
    <n v="907"/>
    <n v="1027"/>
  </r>
  <r>
    <n v="478"/>
    <s v="23/04/2019"/>
    <x v="1"/>
    <n v="2019"/>
    <x v="3"/>
    <x v="0"/>
    <x v="2"/>
    <x v="1"/>
    <x v="0"/>
    <n v="13.188347"/>
    <n v="15.05625"/>
    <x v="0"/>
    <n v="76.666700000000006"/>
    <x v="1"/>
    <n v="20.334232"/>
    <x v="3"/>
    <n v="195"/>
    <n v="3019"/>
    <n v="3214"/>
  </r>
  <r>
    <n v="479"/>
    <s v="24/04/2019"/>
    <x v="1"/>
    <n v="2019"/>
    <x v="3"/>
    <x v="0"/>
    <x v="3"/>
    <x v="1"/>
    <x v="1"/>
    <n v="16.946653000000001"/>
    <n v="20.264150000000001"/>
    <x v="4"/>
    <n v="45.416699999999999"/>
    <x v="2"/>
    <n v="16.708660999999999"/>
    <x v="1"/>
    <n v="518"/>
    <n v="5115"/>
    <n v="5633"/>
  </r>
  <r>
    <n v="480"/>
    <s v="25/04/2019"/>
    <x v="1"/>
    <n v="2019"/>
    <x v="3"/>
    <x v="0"/>
    <x v="4"/>
    <x v="1"/>
    <x v="1"/>
    <n v="19.543347000000001"/>
    <n v="23.51585"/>
    <x v="4"/>
    <n v="42.791699999999999"/>
    <x v="2"/>
    <n v="7.9590639999999997"/>
    <x v="2"/>
    <n v="655"/>
    <n v="5541"/>
    <n v="6196"/>
  </r>
  <r>
    <n v="481"/>
    <s v="26/04/2019"/>
    <x v="1"/>
    <n v="2019"/>
    <x v="3"/>
    <x v="0"/>
    <x v="5"/>
    <x v="1"/>
    <x v="0"/>
    <n v="20.431653000000001"/>
    <n v="24.17915"/>
    <x v="4"/>
    <n v="75.666700000000006"/>
    <x v="1"/>
    <n v="11.833875000000001"/>
    <x v="0"/>
    <n v="475"/>
    <n v="4551"/>
    <n v="5026"/>
  </r>
  <r>
    <n v="482"/>
    <s v="27/04/2019"/>
    <x v="1"/>
    <n v="2019"/>
    <x v="3"/>
    <x v="0"/>
    <x v="6"/>
    <x v="1"/>
    <x v="1"/>
    <n v="18.7575"/>
    <n v="22.63185"/>
    <x v="4"/>
    <n v="40.083300000000001"/>
    <x v="2"/>
    <n v="23.291411"/>
    <x v="3"/>
    <n v="1014"/>
    <n v="5219"/>
    <n v="6233"/>
  </r>
  <r>
    <n v="483"/>
    <s v="28/04/2019"/>
    <x v="1"/>
    <n v="2019"/>
    <x v="3"/>
    <x v="0"/>
    <x v="0"/>
    <x v="0"/>
    <x v="0"/>
    <n v="15.443346999999999"/>
    <n v="18.8752"/>
    <x v="0"/>
    <n v="48.958300000000001"/>
    <x v="2"/>
    <n v="8.7083250000000003"/>
    <x v="2"/>
    <n v="1120"/>
    <n v="3100"/>
    <n v="4220"/>
  </r>
  <r>
    <n v="484"/>
    <s v="29/04/2019"/>
    <x v="1"/>
    <n v="2019"/>
    <x v="3"/>
    <x v="0"/>
    <x v="1"/>
    <x v="0"/>
    <x v="1"/>
    <n v="18.791653"/>
    <n v="22.506049999999998"/>
    <x v="4"/>
    <n v="58.708300000000001"/>
    <x v="2"/>
    <n v="7.8328360000000004"/>
    <x v="2"/>
    <n v="2229"/>
    <n v="4075"/>
    <n v="6304"/>
  </r>
  <r>
    <n v="485"/>
    <s v="30/04/2019"/>
    <x v="1"/>
    <n v="2019"/>
    <x v="3"/>
    <x v="0"/>
    <x v="2"/>
    <x v="1"/>
    <x v="0"/>
    <n v="19.030847000000001"/>
    <n v="22.884799999999998"/>
    <x v="4"/>
    <n v="57"/>
    <x v="2"/>
    <n v="11.499746"/>
    <x v="0"/>
    <n v="665"/>
    <n v="4907"/>
    <n v="5572"/>
  </r>
  <r>
    <n v="486"/>
    <d v="2019-01-05T00:00:00"/>
    <x v="1"/>
    <n v="2019"/>
    <x v="4"/>
    <x v="0"/>
    <x v="3"/>
    <x v="1"/>
    <x v="0"/>
    <n v="25.146653000000001"/>
    <n v="28.851050000000001"/>
    <x v="5"/>
    <n v="65.958299999999994"/>
    <x v="1"/>
    <n v="10.458432"/>
    <x v="0"/>
    <n v="653"/>
    <n v="5087"/>
    <n v="5740"/>
  </r>
  <r>
    <n v="487"/>
    <d v="2019-02-05T00:00:00"/>
    <x v="1"/>
    <n v="2019"/>
    <x v="4"/>
    <x v="0"/>
    <x v="4"/>
    <x v="1"/>
    <x v="1"/>
    <n v="23.130846999999999"/>
    <n v="26.8948"/>
    <x v="5"/>
    <n v="79.708299999999994"/>
    <x v="1"/>
    <n v="9.2498860000000001"/>
    <x v="2"/>
    <n v="667"/>
    <n v="5502"/>
    <n v="6169"/>
  </r>
  <r>
    <n v="488"/>
    <d v="2019-03-05T00:00:00"/>
    <x v="1"/>
    <n v="2019"/>
    <x v="4"/>
    <x v="0"/>
    <x v="5"/>
    <x v="1"/>
    <x v="0"/>
    <n v="22.96"/>
    <n v="26.862100000000002"/>
    <x v="5"/>
    <n v="76.833299999999994"/>
    <x v="1"/>
    <n v="8.9576320000000003"/>
    <x v="2"/>
    <n v="764"/>
    <n v="5657"/>
    <n v="6421"/>
  </r>
  <r>
    <n v="489"/>
    <d v="2019-04-05T00:00:00"/>
    <x v="1"/>
    <n v="2019"/>
    <x v="4"/>
    <x v="0"/>
    <x v="6"/>
    <x v="1"/>
    <x v="1"/>
    <n v="25.727499999999999"/>
    <n v="29.545850000000002"/>
    <x v="5"/>
    <n v="73.541700000000006"/>
    <x v="1"/>
    <n v="10.916846"/>
    <x v="0"/>
    <n v="1069"/>
    <n v="5227"/>
    <n v="6296"/>
  </r>
  <r>
    <n v="490"/>
    <d v="2019-05-05T00:00:00"/>
    <x v="1"/>
    <n v="2019"/>
    <x v="4"/>
    <x v="0"/>
    <x v="0"/>
    <x v="0"/>
    <x v="0"/>
    <n v="25.488347000000001"/>
    <n v="29.230399999999999"/>
    <x v="5"/>
    <n v="75.666700000000006"/>
    <x v="1"/>
    <n v="10.250463999999999"/>
    <x v="0"/>
    <n v="2496"/>
    <n v="4387"/>
    <n v="6883"/>
  </r>
  <r>
    <n v="491"/>
    <d v="2019-06-05T00:00:00"/>
    <x v="1"/>
    <n v="2019"/>
    <x v="4"/>
    <x v="0"/>
    <x v="1"/>
    <x v="0"/>
    <x v="0"/>
    <n v="23.0625"/>
    <n v="27.336849999999998"/>
    <x v="5"/>
    <n v="74"/>
    <x v="1"/>
    <n v="10.041893"/>
    <x v="0"/>
    <n v="2135"/>
    <n v="4224"/>
    <n v="6359"/>
  </r>
  <r>
    <n v="492"/>
    <d v="2019-07-05T00:00:00"/>
    <x v="1"/>
    <n v="2019"/>
    <x v="4"/>
    <x v="0"/>
    <x v="2"/>
    <x v="1"/>
    <x v="0"/>
    <n v="22.037500000000001"/>
    <n v="26.357099999999999"/>
    <x v="5"/>
    <n v="66.416700000000006"/>
    <x v="1"/>
    <n v="15.458307"/>
    <x v="1"/>
    <n v="1008"/>
    <n v="5265"/>
    <n v="6273"/>
  </r>
  <r>
    <n v="493"/>
    <d v="2019-08-05T00:00:00"/>
    <x v="1"/>
    <n v="2019"/>
    <x v="4"/>
    <x v="0"/>
    <x v="3"/>
    <x v="1"/>
    <x v="0"/>
    <n v="23.848347"/>
    <n v="27.873550000000002"/>
    <x v="5"/>
    <n v="68.583299999999994"/>
    <x v="1"/>
    <n v="19.833943000000001"/>
    <x v="1"/>
    <n v="738"/>
    <n v="4990"/>
    <n v="5728"/>
  </r>
  <r>
    <n v="494"/>
    <d v="2019-09-05T00:00:00"/>
    <x v="1"/>
    <n v="2019"/>
    <x v="4"/>
    <x v="0"/>
    <x v="4"/>
    <x v="1"/>
    <x v="0"/>
    <n v="23.574999999999999"/>
    <n v="27.651250000000001"/>
    <x v="5"/>
    <n v="74.416700000000006"/>
    <x v="1"/>
    <n v="14.499604"/>
    <x v="0"/>
    <n v="620"/>
    <n v="4097"/>
    <n v="4717"/>
  </r>
  <r>
    <n v="495"/>
    <d v="2019-10-05T00:00:00"/>
    <x v="1"/>
    <n v="2019"/>
    <x v="4"/>
    <x v="0"/>
    <x v="5"/>
    <x v="1"/>
    <x v="1"/>
    <n v="20.739153000000002"/>
    <n v="24.58915"/>
    <x v="4"/>
    <n v="55.208300000000001"/>
    <x v="2"/>
    <n v="21.042221000000001"/>
    <x v="3"/>
    <n v="1026"/>
    <n v="5546"/>
    <n v="6572"/>
  </r>
  <r>
    <n v="496"/>
    <d v="2019-11-05T00:00:00"/>
    <x v="1"/>
    <n v="2019"/>
    <x v="4"/>
    <x v="0"/>
    <x v="6"/>
    <x v="1"/>
    <x v="1"/>
    <n v="21.866652999999999"/>
    <n v="26.041650000000001"/>
    <x v="5"/>
    <n v="36.041699999999999"/>
    <x v="3"/>
    <n v="15.874779"/>
    <x v="1"/>
    <n v="1319"/>
    <n v="5711"/>
    <n v="7030"/>
  </r>
  <r>
    <n v="497"/>
    <d v="2019-12-05T00:00:00"/>
    <x v="1"/>
    <n v="2019"/>
    <x v="4"/>
    <x v="0"/>
    <x v="0"/>
    <x v="0"/>
    <x v="1"/>
    <n v="23.130846999999999"/>
    <n v="27.240849999999998"/>
    <x v="5"/>
    <n v="48.041699999999999"/>
    <x v="2"/>
    <n v="8.2499110000000009"/>
    <x v="2"/>
    <n v="2622"/>
    <n v="4807"/>
    <n v="7429"/>
  </r>
  <r>
    <n v="498"/>
    <s v="13/05/2019"/>
    <x v="1"/>
    <n v="2019"/>
    <x v="4"/>
    <x v="0"/>
    <x v="1"/>
    <x v="0"/>
    <x v="1"/>
    <n v="25.112500000000001"/>
    <n v="29.261900000000001"/>
    <x v="5"/>
    <n v="57.625"/>
    <x v="2"/>
    <n v="15.082839"/>
    <x v="1"/>
    <n v="2172"/>
    <n v="3946"/>
    <n v="6118"/>
  </r>
  <r>
    <n v="499"/>
    <s v="14/05/2019"/>
    <x v="1"/>
    <n v="2019"/>
    <x v="4"/>
    <x v="0"/>
    <x v="2"/>
    <x v="1"/>
    <x v="0"/>
    <n v="23.506653"/>
    <n v="27.495000000000001"/>
    <x v="5"/>
    <n v="78.958299999999994"/>
    <x v="1"/>
    <n v="14.250363999999999"/>
    <x v="0"/>
    <n v="342"/>
    <n v="2501"/>
    <n v="2843"/>
  </r>
  <r>
    <n v="500"/>
    <s v="15/05/2019"/>
    <x v="1"/>
    <n v="2019"/>
    <x v="4"/>
    <x v="0"/>
    <x v="3"/>
    <x v="1"/>
    <x v="0"/>
    <n v="25.078347000000001"/>
    <n v="28.8202"/>
    <x v="5"/>
    <n v="79.458299999999994"/>
    <x v="1"/>
    <n v="9.8752639999999996"/>
    <x v="2"/>
    <n v="625"/>
    <n v="4490"/>
    <n v="5115"/>
  </r>
  <r>
    <n v="501"/>
    <s v="16/05/2019"/>
    <x v="1"/>
    <n v="2019"/>
    <x v="4"/>
    <x v="0"/>
    <x v="4"/>
    <x v="1"/>
    <x v="1"/>
    <n v="26.103346999999999"/>
    <n v="29.798749999999998"/>
    <x v="5"/>
    <n v="69.791700000000006"/>
    <x v="1"/>
    <n v="8.208304"/>
    <x v="2"/>
    <n v="991"/>
    <n v="6433"/>
    <n v="7424"/>
  </r>
  <r>
    <n v="502"/>
    <s v="17/05/2019"/>
    <x v="1"/>
    <n v="2019"/>
    <x v="4"/>
    <x v="0"/>
    <x v="5"/>
    <x v="1"/>
    <x v="1"/>
    <n v="24.326653"/>
    <n v="28.630649999999999"/>
    <x v="5"/>
    <n v="52"/>
    <x v="2"/>
    <n v="15.374825"/>
    <x v="1"/>
    <n v="1242"/>
    <n v="6142"/>
    <n v="7384"/>
  </r>
  <r>
    <n v="503"/>
    <s v="18/05/2019"/>
    <x v="1"/>
    <n v="2019"/>
    <x v="4"/>
    <x v="0"/>
    <x v="6"/>
    <x v="1"/>
    <x v="1"/>
    <n v="23.130846999999999"/>
    <n v="27.556049999999999"/>
    <x v="5"/>
    <n v="52.333300000000001"/>
    <x v="2"/>
    <n v="9.1667389999999997"/>
    <x v="2"/>
    <n v="1521"/>
    <n v="6118"/>
    <n v="7639"/>
  </r>
  <r>
    <n v="504"/>
    <s v="19/05/2019"/>
    <x v="1"/>
    <n v="2019"/>
    <x v="4"/>
    <x v="0"/>
    <x v="0"/>
    <x v="0"/>
    <x v="1"/>
    <n v="24.6"/>
    <n v="28.345400000000001"/>
    <x v="5"/>
    <n v="45.625"/>
    <x v="2"/>
    <n v="5.6263249999999996"/>
    <x v="2"/>
    <n v="3410"/>
    <n v="4884"/>
    <n v="8294"/>
  </r>
  <r>
    <n v="505"/>
    <s v="20/05/2019"/>
    <x v="1"/>
    <n v="2019"/>
    <x v="4"/>
    <x v="0"/>
    <x v="1"/>
    <x v="0"/>
    <x v="1"/>
    <n v="25.454153000000002"/>
    <n v="29.198350000000001"/>
    <x v="5"/>
    <n v="53.041699999999999"/>
    <x v="2"/>
    <n v="17.042589"/>
    <x v="1"/>
    <n v="2704"/>
    <n v="4425"/>
    <n v="7129"/>
  </r>
  <r>
    <n v="506"/>
    <s v="21/05/2019"/>
    <x v="1"/>
    <n v="2019"/>
    <x v="4"/>
    <x v="0"/>
    <x v="2"/>
    <x v="1"/>
    <x v="0"/>
    <n v="24.531652999999999"/>
    <n v="28.283349999999999"/>
    <x v="5"/>
    <n v="81.125"/>
    <x v="0"/>
    <n v="15.624668"/>
    <x v="1"/>
    <n v="630"/>
    <n v="3729"/>
    <n v="4359"/>
  </r>
  <r>
    <n v="507"/>
    <s v="22/05/2019"/>
    <x v="1"/>
    <n v="2019"/>
    <x v="4"/>
    <x v="0"/>
    <x v="3"/>
    <x v="1"/>
    <x v="0"/>
    <n v="25.215"/>
    <n v="29.041250000000002"/>
    <x v="5"/>
    <n v="76.583299999999994"/>
    <x v="1"/>
    <n v="7.9171889999999996"/>
    <x v="2"/>
    <n v="819"/>
    <n v="5254"/>
    <n v="6073"/>
  </r>
  <r>
    <n v="508"/>
    <s v="23/05/2019"/>
    <x v="1"/>
    <n v="2019"/>
    <x v="4"/>
    <x v="0"/>
    <x v="4"/>
    <x v="1"/>
    <x v="0"/>
    <n v="25.488347000000001"/>
    <n v="29.230599999999999"/>
    <x v="5"/>
    <n v="77.458299999999994"/>
    <x v="1"/>
    <n v="6.8339999999999996"/>
    <x v="2"/>
    <n v="766"/>
    <n v="4494"/>
    <n v="5260"/>
  </r>
  <r>
    <n v="509"/>
    <s v="24/05/2019"/>
    <x v="1"/>
    <n v="2019"/>
    <x v="4"/>
    <x v="0"/>
    <x v="5"/>
    <x v="1"/>
    <x v="1"/>
    <n v="26.855"/>
    <n v="30.335000000000001"/>
    <x v="6"/>
    <n v="71.666700000000006"/>
    <x v="1"/>
    <n v="11.584032000000001"/>
    <x v="0"/>
    <n v="1059"/>
    <n v="5711"/>
    <n v="6770"/>
  </r>
  <r>
    <n v="510"/>
    <s v="25/05/2019"/>
    <x v="1"/>
    <n v="2019"/>
    <x v="4"/>
    <x v="0"/>
    <x v="6"/>
    <x v="1"/>
    <x v="1"/>
    <n v="27.88"/>
    <n v="31.376449999999998"/>
    <x v="6"/>
    <n v="74.708299999999994"/>
    <x v="1"/>
    <n v="9.4168500000000002"/>
    <x v="2"/>
    <n v="1417"/>
    <n v="5317"/>
    <n v="6734"/>
  </r>
  <r>
    <n v="511"/>
    <s v="26/05/2019"/>
    <x v="1"/>
    <n v="2019"/>
    <x v="4"/>
    <x v="0"/>
    <x v="0"/>
    <x v="0"/>
    <x v="1"/>
    <n v="28.392499999999998"/>
    <n v="32.134799999999998"/>
    <x v="6"/>
    <n v="73.25"/>
    <x v="1"/>
    <n v="13.332464"/>
    <x v="0"/>
    <n v="2855"/>
    <n v="3681"/>
    <n v="6536"/>
  </r>
  <r>
    <n v="512"/>
    <s v="27/05/2019"/>
    <x v="1"/>
    <n v="2019"/>
    <x v="4"/>
    <x v="0"/>
    <x v="1"/>
    <x v="0"/>
    <x v="1"/>
    <n v="28.29"/>
    <n v="32.071249999999999"/>
    <x v="6"/>
    <n v="69.708299999999994"/>
    <x v="1"/>
    <n v="14.416456999999999"/>
    <x v="0"/>
    <n v="3283"/>
    <n v="3308"/>
    <n v="6591"/>
  </r>
  <r>
    <n v="513"/>
    <s v="28/05/2019"/>
    <x v="1"/>
    <n v="2019"/>
    <x v="4"/>
    <x v="1"/>
    <x v="2"/>
    <x v="0"/>
    <x v="1"/>
    <n v="29.212499999999999"/>
    <n v="33.965000000000003"/>
    <x v="6"/>
    <n v="67.625"/>
    <x v="1"/>
    <n v="13.166907"/>
    <x v="0"/>
    <n v="2557"/>
    <n v="3486"/>
    <n v="6043"/>
  </r>
  <r>
    <n v="514"/>
    <s v="29/05/2019"/>
    <x v="1"/>
    <n v="2019"/>
    <x v="4"/>
    <x v="0"/>
    <x v="3"/>
    <x v="1"/>
    <x v="1"/>
    <n v="29.622499999999999"/>
    <n v="33.6496"/>
    <x v="6"/>
    <n v="68.458299999999994"/>
    <x v="1"/>
    <n v="19.791799999999999"/>
    <x v="1"/>
    <n v="880"/>
    <n v="4863"/>
    <n v="5743"/>
  </r>
  <r>
    <n v="515"/>
    <s v="30/05/2019"/>
    <x v="1"/>
    <n v="2019"/>
    <x v="4"/>
    <x v="0"/>
    <x v="4"/>
    <x v="1"/>
    <x v="0"/>
    <n v="26.923347"/>
    <n v="30.556450000000002"/>
    <x v="6"/>
    <n v="67"/>
    <x v="1"/>
    <n v="9.0000429999999998"/>
    <x v="2"/>
    <n v="745"/>
    <n v="6110"/>
    <n v="6855"/>
  </r>
  <r>
    <n v="516"/>
    <s v="31/05/2019"/>
    <x v="1"/>
    <n v="2019"/>
    <x v="4"/>
    <x v="0"/>
    <x v="5"/>
    <x v="1"/>
    <x v="1"/>
    <n v="27.88"/>
    <n v="31.56645"/>
    <x v="6"/>
    <n v="49.291699999999999"/>
    <x v="2"/>
    <n v="13.083693"/>
    <x v="0"/>
    <n v="1100"/>
    <n v="6238"/>
    <n v="7338"/>
  </r>
  <r>
    <n v="517"/>
    <d v="2019-01-06T00:00:00"/>
    <x v="1"/>
    <n v="2019"/>
    <x v="5"/>
    <x v="0"/>
    <x v="6"/>
    <x v="1"/>
    <x v="0"/>
    <n v="26.820847000000001"/>
    <n v="30.398099999999999"/>
    <x v="6"/>
    <n v="75.541700000000006"/>
    <x v="1"/>
    <n v="15.916721000000001"/>
    <x v="1"/>
    <n v="533"/>
    <n v="3594"/>
    <n v="4127"/>
  </r>
  <r>
    <n v="518"/>
    <d v="2019-02-06T00:00:00"/>
    <x v="1"/>
    <n v="2019"/>
    <x v="5"/>
    <x v="0"/>
    <x v="0"/>
    <x v="0"/>
    <x v="1"/>
    <n v="23.916653"/>
    <n v="28.314399999999999"/>
    <x v="5"/>
    <n v="54.916699999999999"/>
    <x v="2"/>
    <n v="12.499654"/>
    <x v="0"/>
    <n v="2795"/>
    <n v="5325"/>
    <n v="8120"/>
  </r>
  <r>
    <n v="519"/>
    <d v="2019-03-06T00:00:00"/>
    <x v="1"/>
    <n v="2019"/>
    <x v="5"/>
    <x v="0"/>
    <x v="1"/>
    <x v="0"/>
    <x v="1"/>
    <n v="24.702500000000001"/>
    <n v="28.75665"/>
    <x v="5"/>
    <n v="49.333300000000001"/>
    <x v="2"/>
    <n v="12.333829"/>
    <x v="0"/>
    <n v="2494"/>
    <n v="5147"/>
    <n v="7641"/>
  </r>
  <r>
    <n v="520"/>
    <d v="2019-04-06T00:00:00"/>
    <x v="1"/>
    <n v="2019"/>
    <x v="5"/>
    <x v="0"/>
    <x v="2"/>
    <x v="1"/>
    <x v="1"/>
    <n v="24.497499999999999"/>
    <n v="28.914149999999999"/>
    <x v="5"/>
    <n v="48.708300000000001"/>
    <x v="2"/>
    <n v="19.083811000000001"/>
    <x v="1"/>
    <n v="1071"/>
    <n v="5927"/>
    <n v="6998"/>
  </r>
  <r>
    <n v="521"/>
    <d v="2019-05-06T00:00:00"/>
    <x v="1"/>
    <n v="2019"/>
    <x v="5"/>
    <x v="0"/>
    <x v="3"/>
    <x v="1"/>
    <x v="0"/>
    <n v="22.174153"/>
    <n v="26.294599999999999"/>
    <x v="5"/>
    <n v="61.333300000000001"/>
    <x v="1"/>
    <n v="14.041525"/>
    <x v="0"/>
    <n v="968"/>
    <n v="6033"/>
    <n v="7001"/>
  </r>
  <r>
    <n v="522"/>
    <d v="2019-06-06T00:00:00"/>
    <x v="1"/>
    <n v="2019"/>
    <x v="5"/>
    <x v="0"/>
    <x v="4"/>
    <x v="1"/>
    <x v="1"/>
    <n v="22.720846999999999"/>
    <n v="27.114599999999999"/>
    <x v="5"/>
    <n v="61.125"/>
    <x v="1"/>
    <n v="5.1673749999999998"/>
    <x v="2"/>
    <n v="1027"/>
    <n v="6028"/>
    <n v="7055"/>
  </r>
  <r>
    <n v="523"/>
    <d v="2019-07-06T00:00:00"/>
    <x v="1"/>
    <n v="2019"/>
    <x v="5"/>
    <x v="0"/>
    <x v="5"/>
    <x v="1"/>
    <x v="1"/>
    <n v="24.702500000000001"/>
    <n v="28.472100000000001"/>
    <x v="5"/>
    <n v="56.708300000000001"/>
    <x v="2"/>
    <n v="10.542450000000001"/>
    <x v="0"/>
    <n v="1038"/>
    <n v="6456"/>
    <n v="7494"/>
  </r>
  <r>
    <n v="524"/>
    <d v="2019-08-06T00:00:00"/>
    <x v="1"/>
    <n v="2019"/>
    <x v="5"/>
    <x v="0"/>
    <x v="6"/>
    <x v="1"/>
    <x v="1"/>
    <n v="26.615846999999999"/>
    <n v="29.8931"/>
    <x v="5"/>
    <n v="46.791699999999999"/>
    <x v="2"/>
    <n v="11.750660999999999"/>
    <x v="0"/>
    <n v="1488"/>
    <n v="6248"/>
    <n v="7736"/>
  </r>
  <r>
    <n v="525"/>
    <d v="2019-09-06T00:00:00"/>
    <x v="1"/>
    <n v="2019"/>
    <x v="5"/>
    <x v="0"/>
    <x v="0"/>
    <x v="0"/>
    <x v="1"/>
    <n v="29.144152999999999"/>
    <n v="32.418349999999997"/>
    <x v="6"/>
    <n v="43.708300000000001"/>
    <x v="2"/>
    <n v="9.6672290000000007"/>
    <x v="2"/>
    <n v="2708"/>
    <n v="4790"/>
    <n v="7498"/>
  </r>
  <r>
    <n v="526"/>
    <d v="2019-10-06T00:00:00"/>
    <x v="1"/>
    <n v="2019"/>
    <x v="5"/>
    <x v="0"/>
    <x v="1"/>
    <x v="0"/>
    <x v="1"/>
    <n v="29.793347000000001"/>
    <n v="33.175849999999997"/>
    <x v="6"/>
    <n v="53.833300000000001"/>
    <x v="2"/>
    <n v="8.9593070000000008"/>
    <x v="2"/>
    <n v="2224"/>
    <n v="4374"/>
    <n v="6598"/>
  </r>
  <r>
    <n v="527"/>
    <d v="2019-11-06T00:00:00"/>
    <x v="1"/>
    <n v="2019"/>
    <x v="5"/>
    <x v="0"/>
    <x v="2"/>
    <x v="1"/>
    <x v="0"/>
    <n v="29.554152999999999"/>
    <n v="32.986049999999999"/>
    <x v="6"/>
    <n v="58.791699999999999"/>
    <x v="2"/>
    <n v="13.916771000000001"/>
    <x v="0"/>
    <n v="1017"/>
    <n v="5647"/>
    <n v="6664"/>
  </r>
  <r>
    <n v="528"/>
    <d v="2019-12-06T00:00:00"/>
    <x v="1"/>
    <n v="2019"/>
    <x v="5"/>
    <x v="0"/>
    <x v="3"/>
    <x v="1"/>
    <x v="0"/>
    <n v="26.786653000000001"/>
    <n v="29.893750000000001"/>
    <x v="5"/>
    <n v="83.333299999999994"/>
    <x v="0"/>
    <n v="14.374582"/>
    <x v="0"/>
    <n v="477"/>
    <n v="4495"/>
    <n v="4972"/>
  </r>
  <r>
    <n v="529"/>
    <s v="13/06/2019"/>
    <x v="1"/>
    <n v="2019"/>
    <x v="5"/>
    <x v="0"/>
    <x v="4"/>
    <x v="1"/>
    <x v="1"/>
    <n v="26.889153"/>
    <n v="30.55585"/>
    <x v="6"/>
    <n v="58.208300000000001"/>
    <x v="2"/>
    <n v="22.999693000000001"/>
    <x v="3"/>
    <n v="1173"/>
    <n v="6248"/>
    <n v="7421"/>
  </r>
  <r>
    <n v="530"/>
    <s v="14/06/2019"/>
    <x v="1"/>
    <n v="2019"/>
    <x v="5"/>
    <x v="0"/>
    <x v="5"/>
    <x v="1"/>
    <x v="1"/>
    <n v="26.581652999999999"/>
    <n v="31.219149999999999"/>
    <x v="6"/>
    <n v="56.958300000000001"/>
    <x v="2"/>
    <n v="17.000111"/>
    <x v="1"/>
    <n v="1180"/>
    <n v="6183"/>
    <n v="7363"/>
  </r>
  <r>
    <n v="531"/>
    <s v="15/06/2019"/>
    <x v="1"/>
    <n v="2019"/>
    <x v="5"/>
    <x v="0"/>
    <x v="6"/>
    <x v="1"/>
    <x v="1"/>
    <n v="26.205846999999999"/>
    <n v="29.9877"/>
    <x v="5"/>
    <n v="58.958300000000001"/>
    <x v="2"/>
    <n v="11.833339"/>
    <x v="0"/>
    <n v="1563"/>
    <n v="6102"/>
    <n v="7665"/>
  </r>
  <r>
    <n v="532"/>
    <s v="16/06/2019"/>
    <x v="1"/>
    <n v="2019"/>
    <x v="5"/>
    <x v="0"/>
    <x v="0"/>
    <x v="0"/>
    <x v="1"/>
    <n v="25.898347000000001"/>
    <n v="29.735399999999998"/>
    <x v="5"/>
    <n v="50.416699999999999"/>
    <x v="2"/>
    <n v="11.166689"/>
    <x v="0"/>
    <n v="2963"/>
    <n v="4739"/>
    <n v="7702"/>
  </r>
  <r>
    <n v="533"/>
    <s v="17/06/2019"/>
    <x v="1"/>
    <n v="2019"/>
    <x v="5"/>
    <x v="0"/>
    <x v="1"/>
    <x v="0"/>
    <x v="1"/>
    <n v="24.2925"/>
    <n v="28.598749999999999"/>
    <x v="5"/>
    <n v="59.875"/>
    <x v="2"/>
    <n v="9.7085679999999996"/>
    <x v="2"/>
    <n v="2634"/>
    <n v="4344"/>
    <n v="6978"/>
  </r>
  <r>
    <n v="534"/>
    <s v="18/06/2019"/>
    <x v="1"/>
    <n v="2019"/>
    <x v="5"/>
    <x v="0"/>
    <x v="2"/>
    <x v="1"/>
    <x v="0"/>
    <n v="23.301653000000002"/>
    <n v="27.242100000000001"/>
    <x v="5"/>
    <n v="77.791700000000006"/>
    <x v="1"/>
    <n v="11.707981999999999"/>
    <x v="0"/>
    <n v="653"/>
    <n v="4446"/>
    <n v="5099"/>
  </r>
  <r>
    <n v="535"/>
    <s v="19/06/2019"/>
    <x v="1"/>
    <n v="2019"/>
    <x v="5"/>
    <x v="0"/>
    <x v="3"/>
    <x v="1"/>
    <x v="1"/>
    <n v="28.221653"/>
    <n v="32.7346"/>
    <x v="6"/>
    <n v="69"/>
    <x v="1"/>
    <n v="9.9171390000000006"/>
    <x v="2"/>
    <n v="968"/>
    <n v="5857"/>
    <n v="6825"/>
  </r>
  <r>
    <n v="536"/>
    <s v="20/06/2019"/>
    <x v="1"/>
    <n v="2019"/>
    <x v="5"/>
    <x v="0"/>
    <x v="4"/>
    <x v="1"/>
    <x v="1"/>
    <n v="32.082500000000003"/>
    <n v="36.048749999999998"/>
    <x v="7"/>
    <n v="59.208300000000001"/>
    <x v="2"/>
    <n v="7.6254039999999996"/>
    <x v="2"/>
    <n v="872"/>
    <n v="5339"/>
    <n v="6211"/>
  </r>
  <r>
    <n v="537"/>
    <s v="21/06/2019"/>
    <x v="2"/>
    <n v="2019"/>
    <x v="5"/>
    <x v="0"/>
    <x v="5"/>
    <x v="1"/>
    <x v="1"/>
    <n v="33.039152999999999"/>
    <n v="37.627099999999999"/>
    <x v="7"/>
    <n v="56.791699999999999"/>
    <x v="2"/>
    <n v="7.9587289999999999"/>
    <x v="2"/>
    <n v="778"/>
    <n v="5127"/>
    <n v="5905"/>
  </r>
  <r>
    <n v="538"/>
    <s v="22/06/2019"/>
    <x v="2"/>
    <n v="2019"/>
    <x v="5"/>
    <x v="0"/>
    <x v="6"/>
    <x v="1"/>
    <x v="1"/>
    <n v="31.877500000000001"/>
    <n v="36.206049999999998"/>
    <x v="7"/>
    <n v="57.375"/>
    <x v="2"/>
    <n v="12.250413999999999"/>
    <x v="0"/>
    <n v="964"/>
    <n v="4859"/>
    <n v="5823"/>
  </r>
  <r>
    <n v="539"/>
    <s v="23/06/2019"/>
    <x v="2"/>
    <n v="2019"/>
    <x v="5"/>
    <x v="0"/>
    <x v="0"/>
    <x v="0"/>
    <x v="1"/>
    <n v="29.998346999999999"/>
    <n v="32.639600000000002"/>
    <x v="6"/>
    <n v="53.458300000000001"/>
    <x v="2"/>
    <n v="12.041307"/>
    <x v="0"/>
    <n v="2657"/>
    <n v="4801"/>
    <n v="7458"/>
  </r>
  <r>
    <n v="540"/>
    <s v="24/06/2019"/>
    <x v="2"/>
    <n v="2019"/>
    <x v="5"/>
    <x v="0"/>
    <x v="1"/>
    <x v="0"/>
    <x v="1"/>
    <n v="30.476652999999999"/>
    <n v="33.712699999999998"/>
    <x v="6"/>
    <n v="47.916699999999999"/>
    <x v="2"/>
    <n v="9.7501750000000005"/>
    <x v="2"/>
    <n v="2551"/>
    <n v="4340"/>
    <n v="6891"/>
  </r>
  <r>
    <n v="541"/>
    <s v="25/06/2019"/>
    <x v="2"/>
    <n v="2019"/>
    <x v="5"/>
    <x v="0"/>
    <x v="2"/>
    <x v="1"/>
    <x v="1"/>
    <n v="29.349153000000001"/>
    <n v="32.702100000000002"/>
    <x v="6"/>
    <n v="50.416699999999999"/>
    <x v="2"/>
    <n v="20.125661000000001"/>
    <x v="3"/>
    <n v="1139"/>
    <n v="5640"/>
    <n v="6779"/>
  </r>
  <r>
    <n v="542"/>
    <s v="26/06/2019"/>
    <x v="2"/>
    <n v="2019"/>
    <x v="5"/>
    <x v="0"/>
    <x v="3"/>
    <x v="1"/>
    <x v="1"/>
    <n v="25.864153000000002"/>
    <n v="29.735199999999999"/>
    <x v="5"/>
    <n v="37.333300000000001"/>
    <x v="3"/>
    <n v="23.292014000000002"/>
    <x v="3"/>
    <n v="1077"/>
    <n v="6365"/>
    <n v="7442"/>
  </r>
  <r>
    <n v="543"/>
    <s v="27/06/2019"/>
    <x v="2"/>
    <n v="2019"/>
    <x v="5"/>
    <x v="0"/>
    <x v="4"/>
    <x v="1"/>
    <x v="1"/>
    <n v="28.5975"/>
    <n v="32.0396"/>
    <x v="6"/>
    <n v="36"/>
    <x v="3"/>
    <n v="18.208925000000001"/>
    <x v="1"/>
    <n v="1077"/>
    <n v="6258"/>
    <n v="7335"/>
  </r>
  <r>
    <n v="544"/>
    <s v="28/06/2019"/>
    <x v="2"/>
    <n v="2019"/>
    <x v="5"/>
    <x v="0"/>
    <x v="5"/>
    <x v="1"/>
    <x v="1"/>
    <n v="30.715847"/>
    <n v="33.775599999999997"/>
    <x v="6"/>
    <n v="42.25"/>
    <x v="2"/>
    <n v="11.50055"/>
    <x v="0"/>
    <n v="921"/>
    <n v="5958"/>
    <n v="6879"/>
  </r>
  <r>
    <n v="545"/>
    <s v="29/06/2019"/>
    <x v="2"/>
    <n v="2019"/>
    <x v="5"/>
    <x v="0"/>
    <x v="6"/>
    <x v="1"/>
    <x v="1"/>
    <n v="34.200847000000003"/>
    <n v="39.330649999999999"/>
    <x v="7"/>
    <n v="48.875"/>
    <x v="2"/>
    <n v="11.082939"/>
    <x v="0"/>
    <n v="829"/>
    <n v="4634"/>
    <n v="5463"/>
  </r>
  <r>
    <n v="546"/>
    <s v="30/06/2019"/>
    <x v="2"/>
    <n v="2019"/>
    <x v="5"/>
    <x v="0"/>
    <x v="0"/>
    <x v="0"/>
    <x v="1"/>
    <n v="31.364999999999998"/>
    <n v="34.375399999999999"/>
    <x v="6"/>
    <n v="60.125"/>
    <x v="1"/>
    <n v="10.791757"/>
    <x v="0"/>
    <n v="1455"/>
    <n v="4232"/>
    <n v="5687"/>
  </r>
  <r>
    <n v="547"/>
    <d v="2019-01-07T00:00:00"/>
    <x v="2"/>
    <n v="2019"/>
    <x v="6"/>
    <x v="0"/>
    <x v="1"/>
    <x v="0"/>
    <x v="1"/>
    <n v="33.449153000000003"/>
    <n v="37.53145"/>
    <x v="7"/>
    <n v="51.875"/>
    <x v="2"/>
    <n v="11.291442999999999"/>
    <x v="0"/>
    <n v="1421"/>
    <n v="4110"/>
    <n v="5531"/>
  </r>
  <r>
    <n v="548"/>
    <d v="2019-02-07T00:00:00"/>
    <x v="2"/>
    <n v="2019"/>
    <x v="6"/>
    <x v="0"/>
    <x v="2"/>
    <x v="1"/>
    <x v="1"/>
    <n v="32.048347"/>
    <n v="35.101900000000001"/>
    <x v="7"/>
    <n v="44.708300000000001"/>
    <x v="2"/>
    <n v="13.082889"/>
    <x v="0"/>
    <n v="904"/>
    <n v="5323"/>
    <n v="6227"/>
  </r>
  <r>
    <n v="549"/>
    <d v="2019-03-07T00:00:00"/>
    <x v="2"/>
    <n v="2019"/>
    <x v="6"/>
    <x v="0"/>
    <x v="3"/>
    <x v="1"/>
    <x v="1"/>
    <n v="32.014153"/>
    <n v="35.1325"/>
    <x v="7"/>
    <n v="49.208300000000001"/>
    <x v="2"/>
    <n v="8.4578790000000001"/>
    <x v="2"/>
    <n v="1052"/>
    <n v="5608"/>
    <n v="6660"/>
  </r>
  <r>
    <n v="550"/>
    <d v="2019-04-07T00:00:00"/>
    <x v="2"/>
    <n v="2019"/>
    <x v="6"/>
    <x v="1"/>
    <x v="4"/>
    <x v="0"/>
    <x v="1"/>
    <n v="32.355846999999997"/>
    <n v="36.616849999999999"/>
    <x v="7"/>
    <n v="53.875"/>
    <x v="2"/>
    <n v="9.0416500000000006"/>
    <x v="2"/>
    <n v="2562"/>
    <n v="4841"/>
    <n v="7403"/>
  </r>
  <r>
    <n v="551"/>
    <d v="2019-05-07T00:00:00"/>
    <x v="2"/>
    <n v="2019"/>
    <x v="6"/>
    <x v="0"/>
    <x v="5"/>
    <x v="1"/>
    <x v="1"/>
    <n v="33.927500000000002"/>
    <n v="38.068350000000002"/>
    <x v="7"/>
    <n v="45.791699999999999"/>
    <x v="2"/>
    <n v="12.999943"/>
    <x v="0"/>
    <n v="1405"/>
    <n v="4836"/>
    <n v="6241"/>
  </r>
  <r>
    <n v="552"/>
    <d v="2019-06-07T00:00:00"/>
    <x v="2"/>
    <n v="2019"/>
    <x v="6"/>
    <x v="0"/>
    <x v="6"/>
    <x v="1"/>
    <x v="1"/>
    <n v="33.961652999999998"/>
    <n v="37.626649999999998"/>
    <x v="7"/>
    <n v="45.083300000000001"/>
    <x v="2"/>
    <n v="9.7915139999999994"/>
    <x v="2"/>
    <n v="1366"/>
    <n v="4841"/>
    <n v="6207"/>
  </r>
  <r>
    <n v="553"/>
    <d v="2019-07-07T00:00:00"/>
    <x v="2"/>
    <n v="2019"/>
    <x v="6"/>
    <x v="0"/>
    <x v="0"/>
    <x v="0"/>
    <x v="1"/>
    <n v="35.328347000000001"/>
    <n v="40.245649999999998"/>
    <x v="8"/>
    <n v="49.208300000000001"/>
    <x v="2"/>
    <n v="10.958118000000001"/>
    <x v="0"/>
    <n v="1448"/>
    <n v="3392"/>
    <n v="4840"/>
  </r>
  <r>
    <n v="554"/>
    <d v="2019-08-07T00:00:00"/>
    <x v="2"/>
    <n v="2019"/>
    <x v="6"/>
    <x v="0"/>
    <x v="1"/>
    <x v="0"/>
    <x v="1"/>
    <n v="33.722499999999997"/>
    <n v="39.519799999999996"/>
    <x v="7"/>
    <n v="57.375"/>
    <x v="2"/>
    <n v="8.4171429999999994"/>
    <x v="2"/>
    <n v="1203"/>
    <n v="3469"/>
    <n v="4672"/>
  </r>
  <r>
    <n v="555"/>
    <d v="2019-09-07T00:00:00"/>
    <x v="2"/>
    <n v="2019"/>
    <x v="6"/>
    <x v="0"/>
    <x v="2"/>
    <x v="1"/>
    <x v="0"/>
    <n v="29.144152999999999"/>
    <n v="32.7027"/>
    <x v="6"/>
    <n v="68.333299999999994"/>
    <x v="1"/>
    <n v="12.125325"/>
    <x v="0"/>
    <n v="998"/>
    <n v="5571"/>
    <n v="6569"/>
  </r>
  <r>
    <n v="556"/>
    <d v="2019-10-07T00:00:00"/>
    <x v="2"/>
    <n v="2019"/>
    <x v="6"/>
    <x v="0"/>
    <x v="3"/>
    <x v="1"/>
    <x v="0"/>
    <n v="29.554152999999999"/>
    <n v="33.239800000000002"/>
    <x v="6"/>
    <n v="66.75"/>
    <x v="1"/>
    <n v="10.166378999999999"/>
    <x v="0"/>
    <n v="954"/>
    <n v="5336"/>
    <n v="6290"/>
  </r>
  <r>
    <n v="557"/>
    <d v="2019-11-07T00:00:00"/>
    <x v="2"/>
    <n v="2019"/>
    <x v="6"/>
    <x v="0"/>
    <x v="4"/>
    <x v="1"/>
    <x v="1"/>
    <n v="29.383347000000001"/>
    <n v="32.513550000000002"/>
    <x v="6"/>
    <n v="63.333300000000001"/>
    <x v="1"/>
    <n v="10.166111000000001"/>
    <x v="0"/>
    <n v="975"/>
    <n v="6289"/>
    <n v="7264"/>
  </r>
  <r>
    <n v="558"/>
    <d v="2019-12-07T00:00:00"/>
    <x v="2"/>
    <n v="2019"/>
    <x v="6"/>
    <x v="0"/>
    <x v="5"/>
    <x v="1"/>
    <x v="1"/>
    <n v="29.349153000000001"/>
    <n v="32.73415"/>
    <x v="6"/>
    <n v="52.958300000000001"/>
    <x v="2"/>
    <n v="9.8339250000000007"/>
    <x v="2"/>
    <n v="1032"/>
    <n v="6414"/>
    <n v="7446"/>
  </r>
  <r>
    <n v="559"/>
    <s v="13/07/2019"/>
    <x v="2"/>
    <n v="2019"/>
    <x v="6"/>
    <x v="0"/>
    <x v="6"/>
    <x v="1"/>
    <x v="0"/>
    <n v="29.998346999999999"/>
    <n v="33.396650000000001"/>
    <x v="6"/>
    <n v="48.583300000000001"/>
    <x v="2"/>
    <n v="5.4169499999999999"/>
    <x v="2"/>
    <n v="1511"/>
    <n v="5988"/>
    <n v="7499"/>
  </r>
  <r>
    <n v="560"/>
    <s v="14/07/2019"/>
    <x v="2"/>
    <n v="2019"/>
    <x v="6"/>
    <x v="0"/>
    <x v="0"/>
    <x v="0"/>
    <x v="0"/>
    <n v="28.836652999999998"/>
    <n v="33.302100000000003"/>
    <x v="6"/>
    <n v="69.916700000000006"/>
    <x v="1"/>
    <n v="9.626493"/>
    <x v="2"/>
    <n v="2355"/>
    <n v="4614"/>
    <n v="6969"/>
  </r>
  <r>
    <n v="561"/>
    <s v="15/07/2019"/>
    <x v="2"/>
    <n v="2019"/>
    <x v="6"/>
    <x v="0"/>
    <x v="1"/>
    <x v="0"/>
    <x v="1"/>
    <n v="30.579153000000002"/>
    <n v="35.259799999999998"/>
    <x v="7"/>
    <n v="71.791700000000006"/>
    <x v="1"/>
    <n v="11.166689"/>
    <x v="0"/>
    <n v="1920"/>
    <n v="4111"/>
    <n v="6031"/>
  </r>
  <r>
    <n v="562"/>
    <s v="16/07/2019"/>
    <x v="2"/>
    <n v="2019"/>
    <x v="6"/>
    <x v="0"/>
    <x v="2"/>
    <x v="1"/>
    <x v="1"/>
    <n v="31.296652999999999"/>
    <n v="36.206249999999997"/>
    <x v="7"/>
    <n v="64.5"/>
    <x v="1"/>
    <n v="11.000529"/>
    <x v="0"/>
    <n v="1088"/>
    <n v="5742"/>
    <n v="6830"/>
  </r>
  <r>
    <n v="563"/>
    <s v="17/07/2019"/>
    <x v="2"/>
    <n v="2019"/>
    <x v="6"/>
    <x v="0"/>
    <x v="3"/>
    <x v="1"/>
    <x v="1"/>
    <n v="33.551653000000002"/>
    <n v="37.784149999999997"/>
    <x v="7"/>
    <n v="50.583300000000001"/>
    <x v="2"/>
    <n v="7.6667430000000003"/>
    <x v="2"/>
    <n v="921"/>
    <n v="5865"/>
    <n v="6786"/>
  </r>
  <r>
    <n v="564"/>
    <s v="18/07/2019"/>
    <x v="2"/>
    <n v="2019"/>
    <x v="6"/>
    <x v="0"/>
    <x v="4"/>
    <x v="1"/>
    <x v="1"/>
    <n v="32.526653000000003"/>
    <n v="37.279150000000001"/>
    <x v="7"/>
    <n v="57.708300000000001"/>
    <x v="2"/>
    <n v="9.2086140000000007"/>
    <x v="2"/>
    <n v="799"/>
    <n v="4914"/>
    <n v="5713"/>
  </r>
  <r>
    <n v="565"/>
    <s v="19/07/2019"/>
    <x v="2"/>
    <n v="2019"/>
    <x v="6"/>
    <x v="0"/>
    <x v="5"/>
    <x v="1"/>
    <x v="1"/>
    <n v="31.57"/>
    <n v="35.732100000000003"/>
    <x v="7"/>
    <n v="60.041699999999999"/>
    <x v="1"/>
    <n v="11.083743"/>
    <x v="0"/>
    <n v="888"/>
    <n v="5703"/>
    <n v="6591"/>
  </r>
  <r>
    <n v="566"/>
    <s v="20/07/2019"/>
    <x v="2"/>
    <n v="2019"/>
    <x v="6"/>
    <x v="0"/>
    <x v="6"/>
    <x v="1"/>
    <x v="0"/>
    <n v="27.299153"/>
    <n v="30.651250000000001"/>
    <x v="6"/>
    <n v="84.416700000000006"/>
    <x v="0"/>
    <n v="14.000788999999999"/>
    <x v="0"/>
    <n v="747"/>
    <n v="5123"/>
    <n v="5870"/>
  </r>
  <r>
    <n v="567"/>
    <s v="21/07/2019"/>
    <x v="2"/>
    <n v="2019"/>
    <x v="6"/>
    <x v="0"/>
    <x v="0"/>
    <x v="0"/>
    <x v="2"/>
    <n v="24.429152999999999"/>
    <n v="27.4956"/>
    <x v="5"/>
    <n v="86.541700000000006"/>
    <x v="0"/>
    <n v="14.2911"/>
    <x v="0"/>
    <n v="1264"/>
    <n v="3195"/>
    <n v="4459"/>
  </r>
  <r>
    <n v="568"/>
    <s v="22/07/2019"/>
    <x v="2"/>
    <n v="2019"/>
    <x v="6"/>
    <x v="0"/>
    <x v="1"/>
    <x v="0"/>
    <x v="0"/>
    <n v="27.3675"/>
    <n v="31.15625"/>
    <x v="6"/>
    <n v="76.25"/>
    <x v="1"/>
    <n v="6.2926935999999998"/>
    <x v="2"/>
    <n v="2544"/>
    <n v="4866"/>
    <n v="7410"/>
  </r>
  <r>
    <n v="569"/>
    <s v="23/07/2019"/>
    <x v="2"/>
    <n v="2019"/>
    <x v="6"/>
    <x v="0"/>
    <x v="2"/>
    <x v="1"/>
    <x v="1"/>
    <n v="30.408346999999999"/>
    <n v="34.50085"/>
    <x v="6"/>
    <n v="69.416700000000006"/>
    <x v="1"/>
    <n v="9.2917609999999993"/>
    <x v="2"/>
    <n v="1135"/>
    <n v="5831"/>
    <n v="6966"/>
  </r>
  <r>
    <n v="570"/>
    <s v="24/07/2019"/>
    <x v="2"/>
    <n v="2019"/>
    <x v="6"/>
    <x v="0"/>
    <x v="3"/>
    <x v="1"/>
    <x v="1"/>
    <n v="30.784153"/>
    <n v="35.322499999999998"/>
    <x v="7"/>
    <n v="65.5"/>
    <x v="1"/>
    <n v="14.167418"/>
    <x v="0"/>
    <n v="1140"/>
    <n v="6452"/>
    <n v="7592"/>
  </r>
  <r>
    <n v="571"/>
    <s v="25/07/2019"/>
    <x v="2"/>
    <n v="2019"/>
    <x v="6"/>
    <x v="0"/>
    <x v="4"/>
    <x v="1"/>
    <x v="1"/>
    <n v="29.690847000000002"/>
    <n v="32.7027"/>
    <x v="6"/>
    <n v="45"/>
    <x v="2"/>
    <n v="11.041600000000001"/>
    <x v="0"/>
    <n v="1383"/>
    <n v="6790"/>
    <n v="8173"/>
  </r>
  <r>
    <n v="572"/>
    <s v="26/07/2019"/>
    <x v="2"/>
    <n v="2019"/>
    <x v="6"/>
    <x v="0"/>
    <x v="5"/>
    <x v="1"/>
    <x v="1"/>
    <n v="31.843347000000001"/>
    <n v="36.963149999999999"/>
    <x v="7"/>
    <n v="59.666699999999999"/>
    <x v="2"/>
    <n v="19.082471000000002"/>
    <x v="1"/>
    <n v="1036"/>
    <n v="5825"/>
    <n v="6861"/>
  </r>
  <r>
    <n v="573"/>
    <s v="27/07/2019"/>
    <x v="2"/>
    <n v="2019"/>
    <x v="6"/>
    <x v="0"/>
    <x v="6"/>
    <x v="1"/>
    <x v="1"/>
    <n v="32.048347"/>
    <n v="36.710850000000001"/>
    <x v="7"/>
    <n v="59.458300000000001"/>
    <x v="2"/>
    <n v="10.250463999999999"/>
    <x v="0"/>
    <n v="1259"/>
    <n v="5645"/>
    <n v="6904"/>
  </r>
  <r>
    <n v="574"/>
    <s v="28/07/2019"/>
    <x v="2"/>
    <n v="2019"/>
    <x v="6"/>
    <x v="0"/>
    <x v="0"/>
    <x v="0"/>
    <x v="1"/>
    <n v="30.989153000000002"/>
    <n v="34.880200000000002"/>
    <x v="6"/>
    <n v="61.333300000000001"/>
    <x v="1"/>
    <n v="10.542450000000001"/>
    <x v="0"/>
    <n v="2234"/>
    <n v="4451"/>
    <n v="6685"/>
  </r>
  <r>
    <n v="575"/>
    <s v="29/07/2019"/>
    <x v="2"/>
    <n v="2019"/>
    <x v="6"/>
    <x v="0"/>
    <x v="1"/>
    <x v="0"/>
    <x v="1"/>
    <n v="29.588346999999999"/>
    <n v="33.396650000000001"/>
    <x v="6"/>
    <n v="62.375"/>
    <x v="1"/>
    <n v="11.416532"/>
    <x v="0"/>
    <n v="2153"/>
    <n v="4444"/>
    <n v="6597"/>
  </r>
  <r>
    <n v="576"/>
    <s v="30/07/2019"/>
    <x v="2"/>
    <n v="2019"/>
    <x v="6"/>
    <x v="0"/>
    <x v="2"/>
    <x v="1"/>
    <x v="1"/>
    <n v="29.964153"/>
    <n v="34.24935"/>
    <x v="6"/>
    <n v="66.875"/>
    <x v="1"/>
    <n v="10.292339"/>
    <x v="0"/>
    <n v="1040"/>
    <n v="6065"/>
    <n v="7105"/>
  </r>
  <r>
    <n v="577"/>
    <s v="31/07/2019"/>
    <x v="2"/>
    <n v="2019"/>
    <x v="6"/>
    <x v="0"/>
    <x v="3"/>
    <x v="1"/>
    <x v="1"/>
    <n v="29.246652999999998"/>
    <n v="33.144799999999996"/>
    <x v="6"/>
    <n v="70.416700000000006"/>
    <x v="1"/>
    <n v="11.083475"/>
    <x v="0"/>
    <n v="968"/>
    <n v="6248"/>
    <n v="7216"/>
  </r>
  <r>
    <n v="578"/>
    <d v="2019-01-08T00:00:00"/>
    <x v="2"/>
    <n v="2019"/>
    <x v="7"/>
    <x v="0"/>
    <x v="4"/>
    <x v="1"/>
    <x v="1"/>
    <n v="29.4175"/>
    <n v="33.365400000000001"/>
    <x v="6"/>
    <n v="67.75"/>
    <x v="1"/>
    <n v="9.4589929999999995"/>
    <x v="2"/>
    <n v="1074"/>
    <n v="6506"/>
    <n v="7580"/>
  </r>
  <r>
    <n v="579"/>
    <d v="2019-02-08T00:00:00"/>
    <x v="2"/>
    <n v="2019"/>
    <x v="7"/>
    <x v="0"/>
    <x v="5"/>
    <x v="1"/>
    <x v="1"/>
    <n v="30.852499999999999"/>
    <n v="35.354399999999998"/>
    <x v="7"/>
    <n v="65.958299999999994"/>
    <x v="1"/>
    <n v="8.6667179999999995"/>
    <x v="2"/>
    <n v="983"/>
    <n v="6278"/>
    <n v="7261"/>
  </r>
  <r>
    <n v="580"/>
    <d v="2019-03-08T00:00:00"/>
    <x v="2"/>
    <n v="2019"/>
    <x v="7"/>
    <x v="0"/>
    <x v="6"/>
    <x v="1"/>
    <x v="0"/>
    <n v="31.399152999999998"/>
    <n v="36.143349999999998"/>
    <x v="7"/>
    <n v="64.25"/>
    <x v="1"/>
    <n v="14.458064"/>
    <x v="0"/>
    <n v="1328"/>
    <n v="5847"/>
    <n v="7175"/>
  </r>
  <r>
    <n v="581"/>
    <d v="2019-04-08T00:00:00"/>
    <x v="2"/>
    <n v="2019"/>
    <x v="7"/>
    <x v="0"/>
    <x v="0"/>
    <x v="0"/>
    <x v="1"/>
    <n v="32.526653000000003"/>
    <n v="37.56335"/>
    <x v="7"/>
    <n v="61.333300000000001"/>
    <x v="1"/>
    <n v="17.249686000000001"/>
    <x v="1"/>
    <n v="2345"/>
    <n v="4479"/>
    <n v="6824"/>
  </r>
  <r>
    <n v="582"/>
    <d v="2019-05-08T00:00:00"/>
    <x v="2"/>
    <n v="2019"/>
    <x v="7"/>
    <x v="0"/>
    <x v="1"/>
    <x v="0"/>
    <x v="1"/>
    <n v="31.535847"/>
    <n v="36.55395"/>
    <x v="7"/>
    <n v="65.25"/>
    <x v="1"/>
    <n v="19.458207000000002"/>
    <x v="1"/>
    <n v="1707"/>
    <n v="3757"/>
    <n v="5464"/>
  </r>
  <r>
    <n v="583"/>
    <d v="2019-06-08T00:00:00"/>
    <x v="2"/>
    <n v="2019"/>
    <x v="7"/>
    <x v="0"/>
    <x v="2"/>
    <x v="1"/>
    <x v="0"/>
    <n v="30.852499999999999"/>
    <n v="35.512300000000003"/>
    <x v="7"/>
    <n v="65.416700000000006"/>
    <x v="1"/>
    <n v="8.6667179999999995"/>
    <x v="2"/>
    <n v="1233"/>
    <n v="5780"/>
    <n v="7013"/>
  </r>
  <r>
    <n v="584"/>
    <d v="2019-07-08T00:00:00"/>
    <x v="2"/>
    <n v="2019"/>
    <x v="7"/>
    <x v="0"/>
    <x v="3"/>
    <x v="1"/>
    <x v="0"/>
    <n v="30.169153000000001"/>
    <n v="34.881050000000002"/>
    <x v="6"/>
    <n v="70.375"/>
    <x v="1"/>
    <n v="7.8328360000000004"/>
    <x v="2"/>
    <n v="1278"/>
    <n v="5995"/>
    <n v="7273"/>
  </r>
  <r>
    <n v="585"/>
    <d v="2019-08-08T00:00:00"/>
    <x v="2"/>
    <n v="2019"/>
    <x v="7"/>
    <x v="0"/>
    <x v="4"/>
    <x v="1"/>
    <x v="0"/>
    <n v="30.75"/>
    <n v="35.385849999999998"/>
    <x v="7"/>
    <n v="67.291700000000006"/>
    <x v="1"/>
    <n v="7.4169"/>
    <x v="2"/>
    <n v="1263"/>
    <n v="6271"/>
    <n v="7534"/>
  </r>
  <r>
    <n v="586"/>
    <d v="2019-09-08T00:00:00"/>
    <x v="2"/>
    <n v="2019"/>
    <x v="7"/>
    <x v="0"/>
    <x v="5"/>
    <x v="1"/>
    <x v="1"/>
    <n v="30.989153000000002"/>
    <n v="34.9754"/>
    <x v="6"/>
    <n v="62.041699999999999"/>
    <x v="1"/>
    <n v="10.4587"/>
    <x v="0"/>
    <n v="1196"/>
    <n v="6090"/>
    <n v="7286"/>
  </r>
  <r>
    <n v="587"/>
    <d v="2019-10-08T00:00:00"/>
    <x v="2"/>
    <n v="2019"/>
    <x v="7"/>
    <x v="0"/>
    <x v="6"/>
    <x v="1"/>
    <x v="0"/>
    <n v="29.349153000000001"/>
    <n v="33.397100000000002"/>
    <x v="6"/>
    <n v="71.583299999999994"/>
    <x v="1"/>
    <n v="16.000471000000001"/>
    <x v="1"/>
    <n v="1065"/>
    <n v="4721"/>
    <n v="5786"/>
  </r>
  <r>
    <n v="588"/>
    <d v="2019-11-08T00:00:00"/>
    <x v="2"/>
    <n v="2019"/>
    <x v="7"/>
    <x v="0"/>
    <x v="0"/>
    <x v="0"/>
    <x v="0"/>
    <n v="28.392499999999998"/>
    <n v="31.913350000000001"/>
    <x v="6"/>
    <n v="73.291700000000006"/>
    <x v="1"/>
    <n v="13.834092999999999"/>
    <x v="0"/>
    <n v="2247"/>
    <n v="4052"/>
    <n v="6299"/>
  </r>
  <r>
    <n v="589"/>
    <d v="2019-12-08T00:00:00"/>
    <x v="2"/>
    <n v="2019"/>
    <x v="7"/>
    <x v="0"/>
    <x v="1"/>
    <x v="0"/>
    <x v="1"/>
    <n v="28.734152999999999"/>
    <n v="32.228949999999998"/>
    <x v="6"/>
    <n v="53.041699999999999"/>
    <x v="2"/>
    <n v="8.208304"/>
    <x v="2"/>
    <n v="2182"/>
    <n v="4362"/>
    <n v="6544"/>
  </r>
  <r>
    <n v="590"/>
    <s v="13/08/2019"/>
    <x v="2"/>
    <n v="2019"/>
    <x v="7"/>
    <x v="0"/>
    <x v="2"/>
    <x v="1"/>
    <x v="1"/>
    <n v="29.554152999999999"/>
    <n v="33.112699999999997"/>
    <x v="6"/>
    <n v="54.541699999999999"/>
    <x v="2"/>
    <n v="9.1262039999999995"/>
    <x v="2"/>
    <n v="1207"/>
    <n v="5676"/>
    <n v="6883"/>
  </r>
  <r>
    <n v="591"/>
    <s v="14/08/2019"/>
    <x v="2"/>
    <n v="2019"/>
    <x v="7"/>
    <x v="0"/>
    <x v="3"/>
    <x v="1"/>
    <x v="1"/>
    <n v="29.793347000000001"/>
    <n v="33.838949999999997"/>
    <x v="6"/>
    <n v="68.666700000000006"/>
    <x v="1"/>
    <n v="11.333586"/>
    <x v="0"/>
    <n v="1128"/>
    <n v="5656"/>
    <n v="6784"/>
  </r>
  <r>
    <n v="592"/>
    <s v="15/08/2019"/>
    <x v="2"/>
    <n v="2019"/>
    <x v="7"/>
    <x v="0"/>
    <x v="4"/>
    <x v="1"/>
    <x v="1"/>
    <n v="28.973347"/>
    <n v="32.70185"/>
    <x v="6"/>
    <n v="61.958300000000001"/>
    <x v="1"/>
    <n v="11.374656999999999"/>
    <x v="0"/>
    <n v="1198"/>
    <n v="6149"/>
    <n v="7347"/>
  </r>
  <r>
    <n v="593"/>
    <s v="16/08/2019"/>
    <x v="2"/>
    <n v="2019"/>
    <x v="7"/>
    <x v="0"/>
    <x v="5"/>
    <x v="1"/>
    <x v="1"/>
    <n v="29.485847"/>
    <n v="32.734400000000001"/>
    <x v="6"/>
    <n v="51.916699999999999"/>
    <x v="2"/>
    <n v="9.5003320000000002"/>
    <x v="2"/>
    <n v="1338"/>
    <n v="6267"/>
    <n v="7605"/>
  </r>
  <r>
    <n v="594"/>
    <s v="17/08/2019"/>
    <x v="2"/>
    <n v="2019"/>
    <x v="7"/>
    <x v="0"/>
    <x v="6"/>
    <x v="1"/>
    <x v="1"/>
    <n v="29.656652999999999"/>
    <n v="12.12"/>
    <x v="2"/>
    <n v="57.083300000000001"/>
    <x v="2"/>
    <n v="15.500718000000001"/>
    <x v="1"/>
    <n v="1483"/>
    <n v="5665"/>
    <n v="7148"/>
  </r>
  <r>
    <n v="595"/>
    <s v="18/08/2019"/>
    <x v="2"/>
    <n v="2019"/>
    <x v="7"/>
    <x v="0"/>
    <x v="0"/>
    <x v="0"/>
    <x v="1"/>
    <n v="27.811653"/>
    <n v="30.903549999999999"/>
    <x v="6"/>
    <n v="60.333300000000001"/>
    <x v="1"/>
    <n v="11.917089000000001"/>
    <x v="0"/>
    <n v="2827"/>
    <n v="5038"/>
    <n v="7865"/>
  </r>
  <r>
    <n v="596"/>
    <s v="19/08/2019"/>
    <x v="2"/>
    <n v="2019"/>
    <x v="7"/>
    <x v="0"/>
    <x v="1"/>
    <x v="0"/>
    <x v="0"/>
    <n v="26.069153"/>
    <n v="30.177700000000002"/>
    <x v="6"/>
    <n v="71.166700000000006"/>
    <x v="1"/>
    <n v="5.7921500000000004"/>
    <x v="2"/>
    <n v="1208"/>
    <n v="3341"/>
    <n v="4549"/>
  </r>
  <r>
    <n v="597"/>
    <s v="20/08/2019"/>
    <x v="2"/>
    <n v="2019"/>
    <x v="7"/>
    <x v="0"/>
    <x v="2"/>
    <x v="1"/>
    <x v="0"/>
    <n v="26.069153"/>
    <n v="29.798349999999999"/>
    <x v="5"/>
    <n v="73.416700000000006"/>
    <x v="1"/>
    <n v="8.7085930000000005"/>
    <x v="2"/>
    <n v="1026"/>
    <n v="5504"/>
    <n v="6530"/>
  </r>
  <r>
    <n v="598"/>
    <s v="21/08/2019"/>
    <x v="2"/>
    <n v="2019"/>
    <x v="7"/>
    <x v="0"/>
    <x v="3"/>
    <x v="1"/>
    <x v="1"/>
    <n v="26.615846999999999"/>
    <n v="30.05125"/>
    <x v="6"/>
    <n v="67.375"/>
    <x v="1"/>
    <n v="4.8756436000000001"/>
    <x v="4"/>
    <n v="1081"/>
    <n v="5925"/>
    <n v="7006"/>
  </r>
  <r>
    <n v="599"/>
    <s v="22/08/2019"/>
    <x v="2"/>
    <n v="2019"/>
    <x v="7"/>
    <x v="0"/>
    <x v="4"/>
    <x v="1"/>
    <x v="1"/>
    <n v="27.3675"/>
    <n v="31.092700000000001"/>
    <x v="6"/>
    <n v="67.708299999999994"/>
    <x v="1"/>
    <n v="4.7089810999999999"/>
    <x v="4"/>
    <n v="1094"/>
    <n v="6281"/>
    <n v="7375"/>
  </r>
  <r>
    <n v="600"/>
    <s v="23/08/2019"/>
    <x v="2"/>
    <n v="2019"/>
    <x v="7"/>
    <x v="0"/>
    <x v="5"/>
    <x v="1"/>
    <x v="1"/>
    <n v="28.529153000000001"/>
    <n v="31.8504"/>
    <x v="6"/>
    <n v="63.583300000000001"/>
    <x v="1"/>
    <n v="5.6679186000000001"/>
    <x v="2"/>
    <n v="1363"/>
    <n v="6402"/>
    <n v="7765"/>
  </r>
  <r>
    <n v="601"/>
    <s v="24/08/2019"/>
    <x v="2"/>
    <n v="2019"/>
    <x v="7"/>
    <x v="0"/>
    <x v="6"/>
    <x v="1"/>
    <x v="0"/>
    <n v="28.802499999999998"/>
    <n v="32.354999999999997"/>
    <x v="6"/>
    <n v="61.5"/>
    <x v="1"/>
    <n v="4.8337686"/>
    <x v="4"/>
    <n v="1325"/>
    <n v="6257"/>
    <n v="7582"/>
  </r>
  <r>
    <n v="602"/>
    <s v="25/08/2019"/>
    <x v="2"/>
    <n v="2019"/>
    <x v="7"/>
    <x v="0"/>
    <x v="0"/>
    <x v="0"/>
    <x v="0"/>
    <n v="27.128347000000002"/>
    <n v="30.934799999999999"/>
    <x v="6"/>
    <n v="71.291700000000006"/>
    <x v="1"/>
    <n v="16.375336000000001"/>
    <x v="1"/>
    <n v="1829"/>
    <n v="4224"/>
    <n v="6053"/>
  </r>
  <r>
    <n v="603"/>
    <s v="26/08/2019"/>
    <x v="2"/>
    <n v="2019"/>
    <x v="7"/>
    <x v="0"/>
    <x v="1"/>
    <x v="0"/>
    <x v="0"/>
    <n v="26.786653000000001"/>
    <n v="29.799800000000001"/>
    <x v="5"/>
    <n v="84.583299999999994"/>
    <x v="0"/>
    <n v="15.333486000000001"/>
    <x v="1"/>
    <n v="1483"/>
    <n v="3772"/>
    <n v="5255"/>
  </r>
  <r>
    <n v="604"/>
    <s v="27/08/2019"/>
    <x v="2"/>
    <n v="2019"/>
    <x v="7"/>
    <x v="0"/>
    <x v="2"/>
    <x v="1"/>
    <x v="1"/>
    <n v="28.836652999999998"/>
    <n v="32.734400000000001"/>
    <x v="6"/>
    <n v="73.041700000000006"/>
    <x v="1"/>
    <n v="8.6251110000000004"/>
    <x v="2"/>
    <n v="989"/>
    <n v="5928"/>
    <n v="6917"/>
  </r>
  <r>
    <n v="605"/>
    <s v="28/08/2019"/>
    <x v="2"/>
    <n v="2019"/>
    <x v="7"/>
    <x v="0"/>
    <x v="3"/>
    <x v="1"/>
    <x v="1"/>
    <n v="29.861653"/>
    <n v="33.302500000000002"/>
    <x v="6"/>
    <n v="62"/>
    <x v="1"/>
    <n v="12.791975000000001"/>
    <x v="0"/>
    <n v="935"/>
    <n v="6105"/>
    <n v="7040"/>
  </r>
  <r>
    <n v="606"/>
    <s v="29/08/2019"/>
    <x v="2"/>
    <n v="2019"/>
    <x v="7"/>
    <x v="0"/>
    <x v="4"/>
    <x v="1"/>
    <x v="1"/>
    <n v="28.085000000000001"/>
    <n v="31.786650000000002"/>
    <x v="6"/>
    <n v="55.208300000000001"/>
    <x v="2"/>
    <n v="7.5416540000000003"/>
    <x v="2"/>
    <n v="1177"/>
    <n v="6520"/>
    <n v="7697"/>
  </r>
  <r>
    <n v="607"/>
    <s v="30/08/2019"/>
    <x v="2"/>
    <n v="2019"/>
    <x v="7"/>
    <x v="0"/>
    <x v="5"/>
    <x v="1"/>
    <x v="1"/>
    <n v="28.973347"/>
    <n v="32.638950000000001"/>
    <x v="6"/>
    <n v="59.041699999999999"/>
    <x v="2"/>
    <n v="5.1668189"/>
    <x v="2"/>
    <n v="1172"/>
    <n v="6541"/>
    <n v="7713"/>
  </r>
  <r>
    <n v="608"/>
    <s v="31/08/2019"/>
    <x v="2"/>
    <n v="2019"/>
    <x v="7"/>
    <x v="0"/>
    <x v="6"/>
    <x v="1"/>
    <x v="1"/>
    <n v="31.330846999999999"/>
    <n v="34.47"/>
    <x v="6"/>
    <n v="58.75"/>
    <x v="2"/>
    <n v="11.291710999999999"/>
    <x v="0"/>
    <n v="1433"/>
    <n v="5917"/>
    <n v="7350"/>
  </r>
  <r>
    <n v="609"/>
    <d v="2019-01-09T00:00:00"/>
    <x v="2"/>
    <n v="2019"/>
    <x v="8"/>
    <x v="0"/>
    <x v="0"/>
    <x v="0"/>
    <x v="0"/>
    <n v="30.886652999999999"/>
    <n v="35.1327"/>
    <x v="7"/>
    <n v="63.833300000000001"/>
    <x v="1"/>
    <n v="7.5835290000000004"/>
    <x v="2"/>
    <n v="2352"/>
    <n v="3788"/>
    <n v="6140"/>
  </r>
  <r>
    <n v="610"/>
    <d v="2019-02-09T00:00:00"/>
    <x v="2"/>
    <n v="2019"/>
    <x v="8"/>
    <x v="0"/>
    <x v="1"/>
    <x v="0"/>
    <x v="0"/>
    <n v="28.563347"/>
    <n v="32.450000000000003"/>
    <x v="6"/>
    <n v="81.5"/>
    <x v="0"/>
    <n v="4.2927435999999997"/>
    <x v="4"/>
    <n v="2613"/>
    <n v="3197"/>
    <n v="5810"/>
  </r>
  <r>
    <n v="611"/>
    <d v="2019-03-09T00:00:00"/>
    <x v="2"/>
    <n v="2019"/>
    <x v="8"/>
    <x v="1"/>
    <x v="2"/>
    <x v="0"/>
    <x v="1"/>
    <n v="29.0075"/>
    <n v="33.081449999999997"/>
    <x v="6"/>
    <n v="79.083299999999994"/>
    <x v="1"/>
    <n v="10.125107"/>
    <x v="0"/>
    <n v="1965"/>
    <n v="4069"/>
    <n v="6034"/>
  </r>
  <r>
    <n v="612"/>
    <d v="2019-04-09T00:00:00"/>
    <x v="2"/>
    <n v="2019"/>
    <x v="8"/>
    <x v="0"/>
    <x v="3"/>
    <x v="1"/>
    <x v="1"/>
    <n v="29.759153000000001"/>
    <n v="34.3444"/>
    <x v="6"/>
    <n v="75.5"/>
    <x v="1"/>
    <n v="15.833507000000001"/>
    <x v="1"/>
    <n v="867"/>
    <n v="5997"/>
    <n v="6864"/>
  </r>
  <r>
    <n v="613"/>
    <d v="2019-05-09T00:00:00"/>
    <x v="2"/>
    <n v="2019"/>
    <x v="8"/>
    <x v="0"/>
    <x v="4"/>
    <x v="1"/>
    <x v="1"/>
    <n v="30.203347000000001"/>
    <n v="35.449150000000003"/>
    <x v="7"/>
    <n v="74.125"/>
    <x v="1"/>
    <n v="12.583136"/>
    <x v="0"/>
    <n v="832"/>
    <n v="6280"/>
    <n v="7112"/>
  </r>
  <r>
    <n v="614"/>
    <d v="2019-06-09T00:00:00"/>
    <x v="2"/>
    <n v="2019"/>
    <x v="8"/>
    <x v="0"/>
    <x v="5"/>
    <x v="1"/>
    <x v="0"/>
    <n v="28.563347"/>
    <n v="32.766449999999999"/>
    <x v="6"/>
    <n v="81.041700000000006"/>
    <x v="0"/>
    <n v="9.5422069999999994"/>
    <x v="2"/>
    <n v="611"/>
    <n v="5592"/>
    <n v="6203"/>
  </r>
  <r>
    <n v="615"/>
    <d v="2019-07-09T00:00:00"/>
    <x v="2"/>
    <n v="2019"/>
    <x v="8"/>
    <x v="0"/>
    <x v="6"/>
    <x v="1"/>
    <x v="1"/>
    <n v="28.836652999999998"/>
    <n v="32.860199999999999"/>
    <x v="6"/>
    <n v="73.625"/>
    <x v="1"/>
    <n v="11.500282"/>
    <x v="0"/>
    <n v="1045"/>
    <n v="6459"/>
    <n v="7504"/>
  </r>
  <r>
    <n v="616"/>
    <d v="2019-08-09T00:00:00"/>
    <x v="2"/>
    <n v="2019"/>
    <x v="8"/>
    <x v="0"/>
    <x v="0"/>
    <x v="0"/>
    <x v="0"/>
    <n v="27.025846999999999"/>
    <n v="30.556049999999999"/>
    <x v="6"/>
    <n v="79.916700000000006"/>
    <x v="1"/>
    <n v="18.833967999999999"/>
    <x v="1"/>
    <n v="1557"/>
    <n v="4419"/>
    <n v="5976"/>
  </r>
  <r>
    <n v="617"/>
    <d v="2019-09-09T00:00:00"/>
    <x v="2"/>
    <n v="2019"/>
    <x v="8"/>
    <x v="0"/>
    <x v="1"/>
    <x v="0"/>
    <x v="1"/>
    <n v="25.01"/>
    <n v="28.946249999999999"/>
    <x v="5"/>
    <n v="54.75"/>
    <x v="2"/>
    <n v="15.041232000000001"/>
    <x v="1"/>
    <n v="2570"/>
    <n v="5657"/>
    <n v="8227"/>
  </r>
  <r>
    <n v="618"/>
    <d v="2019-10-09T00:00:00"/>
    <x v="2"/>
    <n v="2019"/>
    <x v="8"/>
    <x v="0"/>
    <x v="2"/>
    <x v="1"/>
    <x v="1"/>
    <n v="23.916653"/>
    <n v="28.282699999999998"/>
    <x v="5"/>
    <n v="50.375"/>
    <x v="2"/>
    <n v="17.333770999999999"/>
    <x v="1"/>
    <n v="1118"/>
    <n v="6407"/>
    <n v="7525"/>
  </r>
  <r>
    <n v="619"/>
    <d v="2019-11-09T00:00:00"/>
    <x v="2"/>
    <n v="2019"/>
    <x v="8"/>
    <x v="0"/>
    <x v="3"/>
    <x v="1"/>
    <x v="1"/>
    <n v="23.677499999999998"/>
    <n v="27.714600000000001"/>
    <x v="5"/>
    <n v="52"/>
    <x v="2"/>
    <n v="6.1676314000000003"/>
    <x v="2"/>
    <n v="1070"/>
    <n v="6697"/>
    <n v="7767"/>
  </r>
  <r>
    <n v="620"/>
    <d v="2019-12-09T00:00:00"/>
    <x v="2"/>
    <n v="2019"/>
    <x v="8"/>
    <x v="0"/>
    <x v="4"/>
    <x v="1"/>
    <x v="1"/>
    <n v="24.565847000000002"/>
    <n v="28.50375"/>
    <x v="5"/>
    <n v="57.708300000000001"/>
    <x v="2"/>
    <n v="8.8336819999999996"/>
    <x v="2"/>
    <n v="1050"/>
    <n v="6820"/>
    <n v="7870"/>
  </r>
  <r>
    <n v="621"/>
    <s v="13/09/2019"/>
    <x v="2"/>
    <n v="2019"/>
    <x v="8"/>
    <x v="0"/>
    <x v="5"/>
    <x v="1"/>
    <x v="1"/>
    <n v="25.112500000000001"/>
    <n v="28.977900000000002"/>
    <x v="5"/>
    <n v="63.708300000000001"/>
    <x v="1"/>
    <n v="5.5422935999999998"/>
    <x v="2"/>
    <n v="1054"/>
    <n v="6750"/>
    <n v="7804"/>
  </r>
  <r>
    <n v="622"/>
    <s v="14/09/2019"/>
    <x v="2"/>
    <n v="2019"/>
    <x v="8"/>
    <x v="0"/>
    <x v="6"/>
    <x v="1"/>
    <x v="1"/>
    <n v="25.966653000000001"/>
    <n v="29.704149999999998"/>
    <x v="5"/>
    <n v="67.25"/>
    <x v="1"/>
    <n v="6.9588210000000004"/>
    <x v="2"/>
    <n v="1379"/>
    <n v="6630"/>
    <n v="8009"/>
  </r>
  <r>
    <n v="623"/>
    <s v="15/09/2019"/>
    <x v="2"/>
    <n v="2019"/>
    <x v="8"/>
    <x v="0"/>
    <x v="0"/>
    <x v="0"/>
    <x v="1"/>
    <n v="24.941652999999999"/>
    <n v="29.29335"/>
    <x v="5"/>
    <n v="50.166699999999999"/>
    <x v="2"/>
    <n v="16.583907"/>
    <x v="1"/>
    <n v="3160"/>
    <n v="5554"/>
    <n v="8714"/>
  </r>
  <r>
    <n v="624"/>
    <s v="16/09/2019"/>
    <x v="2"/>
    <n v="2019"/>
    <x v="8"/>
    <x v="0"/>
    <x v="1"/>
    <x v="0"/>
    <x v="1"/>
    <n v="23.78"/>
    <n v="28.15625"/>
    <x v="5"/>
    <n v="57"/>
    <x v="2"/>
    <n v="6.0422811000000003"/>
    <x v="2"/>
    <n v="2166"/>
    <n v="5167"/>
    <n v="7333"/>
  </r>
  <r>
    <n v="625"/>
    <s v="17/09/2019"/>
    <x v="2"/>
    <n v="2019"/>
    <x v="8"/>
    <x v="0"/>
    <x v="2"/>
    <x v="1"/>
    <x v="0"/>
    <n v="23.814153000000001"/>
    <n v="27.6525"/>
    <x v="5"/>
    <n v="73.458299999999994"/>
    <x v="1"/>
    <n v="10.166714000000001"/>
    <x v="0"/>
    <n v="1022"/>
    <n v="5847"/>
    <n v="6869"/>
  </r>
  <r>
    <n v="626"/>
    <s v="18/09/2019"/>
    <x v="2"/>
    <n v="2019"/>
    <x v="8"/>
    <x v="0"/>
    <x v="3"/>
    <x v="1"/>
    <x v="0"/>
    <n v="25.556653000000001"/>
    <n v="28.253350000000001"/>
    <x v="5"/>
    <n v="87.25"/>
    <x v="0"/>
    <n v="23.958328999999999"/>
    <x v="3"/>
    <n v="371"/>
    <n v="3702"/>
    <n v="4073"/>
  </r>
  <r>
    <n v="627"/>
    <s v="19/09/2019"/>
    <x v="2"/>
    <n v="2019"/>
    <x v="8"/>
    <x v="0"/>
    <x v="4"/>
    <x v="1"/>
    <x v="1"/>
    <n v="22.6525"/>
    <n v="27.020199999999999"/>
    <x v="5"/>
    <n v="53.666699999999999"/>
    <x v="2"/>
    <n v="14.416725"/>
    <x v="0"/>
    <n v="788"/>
    <n v="6803"/>
    <n v="7591"/>
  </r>
  <r>
    <n v="628"/>
    <s v="20/09/2019"/>
    <x v="2"/>
    <n v="2019"/>
    <x v="8"/>
    <x v="0"/>
    <x v="5"/>
    <x v="1"/>
    <x v="1"/>
    <n v="22.413347000000002"/>
    <n v="26.6096"/>
    <x v="5"/>
    <n v="61.833300000000001"/>
    <x v="1"/>
    <n v="7.9171889999999996"/>
    <x v="2"/>
    <n v="939"/>
    <n v="6781"/>
    <n v="7720"/>
  </r>
  <r>
    <n v="629"/>
    <s v="21/09/2019"/>
    <x v="2"/>
    <n v="2019"/>
    <x v="8"/>
    <x v="0"/>
    <x v="6"/>
    <x v="1"/>
    <x v="1"/>
    <n v="24.565847000000002"/>
    <n v="28.598549999999999"/>
    <x v="5"/>
    <n v="66.875"/>
    <x v="1"/>
    <n v="10.333342999999999"/>
    <x v="0"/>
    <n v="1250"/>
    <n v="6917"/>
    <n v="8167"/>
  </r>
  <r>
    <n v="630"/>
    <s v="22/09/2019"/>
    <x v="2"/>
    <n v="2019"/>
    <x v="8"/>
    <x v="0"/>
    <x v="0"/>
    <x v="0"/>
    <x v="1"/>
    <n v="26.65"/>
    <n v="30.5244"/>
    <x v="6"/>
    <n v="64.666700000000006"/>
    <x v="1"/>
    <n v="19.000060999999999"/>
    <x v="1"/>
    <n v="2512"/>
    <n v="5883"/>
    <n v="8395"/>
  </r>
  <r>
    <n v="631"/>
    <s v="23/09/2019"/>
    <x v="3"/>
    <n v="2019"/>
    <x v="8"/>
    <x v="0"/>
    <x v="1"/>
    <x v="0"/>
    <x v="1"/>
    <n v="21.695847000000001"/>
    <n v="25.946650000000002"/>
    <x v="5"/>
    <n v="46.708300000000001"/>
    <x v="2"/>
    <n v="14.958285999999999"/>
    <x v="0"/>
    <n v="2454"/>
    <n v="5453"/>
    <n v="7907"/>
  </r>
  <r>
    <n v="632"/>
    <s v="24/09/2019"/>
    <x v="3"/>
    <n v="2019"/>
    <x v="8"/>
    <x v="0"/>
    <x v="2"/>
    <x v="1"/>
    <x v="1"/>
    <n v="21.080846999999999"/>
    <n v="25.12565"/>
    <x v="5"/>
    <n v="49.291699999999999"/>
    <x v="2"/>
    <n v="9.5410679999999992"/>
    <x v="2"/>
    <n v="1001"/>
    <n v="6435"/>
    <n v="7436"/>
  </r>
  <r>
    <n v="633"/>
    <s v="25/09/2019"/>
    <x v="3"/>
    <n v="2019"/>
    <x v="8"/>
    <x v="0"/>
    <x v="3"/>
    <x v="1"/>
    <x v="1"/>
    <n v="22.55"/>
    <n v="27.208950000000002"/>
    <x v="5"/>
    <n v="57"/>
    <x v="2"/>
    <n v="15.833507000000001"/>
    <x v="1"/>
    <n v="845"/>
    <n v="6693"/>
    <n v="7538"/>
  </r>
  <r>
    <n v="634"/>
    <s v="26/09/2019"/>
    <x v="3"/>
    <n v="2019"/>
    <x v="8"/>
    <x v="0"/>
    <x v="4"/>
    <x v="1"/>
    <x v="1"/>
    <n v="26.035"/>
    <n v="29.830649999999999"/>
    <x v="5"/>
    <n v="63.083300000000001"/>
    <x v="1"/>
    <n v="16.3748"/>
    <x v="1"/>
    <n v="787"/>
    <n v="6946"/>
    <n v="7733"/>
  </r>
  <r>
    <n v="635"/>
    <s v="27/09/2019"/>
    <x v="3"/>
    <n v="2019"/>
    <x v="8"/>
    <x v="0"/>
    <x v="5"/>
    <x v="1"/>
    <x v="0"/>
    <n v="26.65"/>
    <n v="30.39875"/>
    <x v="6"/>
    <n v="69.083299999999994"/>
    <x v="1"/>
    <n v="9.0009139999999999"/>
    <x v="2"/>
    <n v="751"/>
    <n v="6642"/>
    <n v="7393"/>
  </r>
  <r>
    <n v="636"/>
    <s v="28/09/2019"/>
    <x v="3"/>
    <n v="2019"/>
    <x v="8"/>
    <x v="0"/>
    <x v="6"/>
    <x v="1"/>
    <x v="0"/>
    <n v="25.385846999999998"/>
    <n v="29.293150000000001"/>
    <x v="5"/>
    <n v="69"/>
    <x v="1"/>
    <n v="10.999993"/>
    <x v="0"/>
    <n v="1045"/>
    <n v="6370"/>
    <n v="7415"/>
  </r>
  <r>
    <n v="637"/>
    <s v="29/09/2019"/>
    <x v="3"/>
    <n v="2019"/>
    <x v="8"/>
    <x v="0"/>
    <x v="0"/>
    <x v="0"/>
    <x v="1"/>
    <n v="22.2425"/>
    <n v="26.514800000000001"/>
    <x v="5"/>
    <n v="54.291699999999999"/>
    <x v="2"/>
    <n v="15.249468"/>
    <x v="1"/>
    <n v="2589"/>
    <n v="5966"/>
    <n v="8555"/>
  </r>
  <r>
    <n v="638"/>
    <s v="30/09/2019"/>
    <x v="3"/>
    <n v="2019"/>
    <x v="8"/>
    <x v="0"/>
    <x v="1"/>
    <x v="0"/>
    <x v="1"/>
    <n v="21.593347000000001"/>
    <n v="25.883150000000001"/>
    <x v="5"/>
    <n v="58.333300000000001"/>
    <x v="2"/>
    <n v="9.0421859999999992"/>
    <x v="2"/>
    <n v="2015"/>
    <n v="4874"/>
    <n v="6889"/>
  </r>
  <r>
    <n v="639"/>
    <d v="2019-01-10T00:00:00"/>
    <x v="3"/>
    <n v="2019"/>
    <x v="9"/>
    <x v="0"/>
    <x v="2"/>
    <x v="1"/>
    <x v="0"/>
    <n v="21.354153"/>
    <n v="25.6"/>
    <x v="5"/>
    <n v="64.916700000000006"/>
    <x v="1"/>
    <n v="6.0838814000000001"/>
    <x v="2"/>
    <n v="763"/>
    <n v="6015"/>
    <n v="6778"/>
  </r>
  <r>
    <n v="640"/>
    <d v="2019-02-10T00:00:00"/>
    <x v="3"/>
    <n v="2019"/>
    <x v="9"/>
    <x v="0"/>
    <x v="3"/>
    <x v="1"/>
    <x v="2"/>
    <n v="24.224153000000001"/>
    <n v="27.11665"/>
    <x v="5"/>
    <n v="87.166700000000006"/>
    <x v="0"/>
    <n v="6.9998250000000004"/>
    <x v="2"/>
    <n v="315"/>
    <n v="4324"/>
    <n v="4639"/>
  </r>
  <r>
    <n v="641"/>
    <d v="2019-03-10T00:00:00"/>
    <x v="3"/>
    <n v="2019"/>
    <x v="9"/>
    <x v="0"/>
    <x v="4"/>
    <x v="1"/>
    <x v="0"/>
    <n v="26.9575"/>
    <n v="29.95665"/>
    <x v="5"/>
    <n v="79.375"/>
    <x v="1"/>
    <n v="4.4585686000000004"/>
    <x v="4"/>
    <n v="728"/>
    <n v="6844"/>
    <n v="7572"/>
  </r>
  <r>
    <n v="642"/>
    <d v="2019-04-10T00:00:00"/>
    <x v="3"/>
    <n v="2019"/>
    <x v="9"/>
    <x v="0"/>
    <x v="5"/>
    <x v="1"/>
    <x v="0"/>
    <n v="26.9575"/>
    <n v="30.39875"/>
    <x v="6"/>
    <n v="72.291700000000006"/>
    <x v="1"/>
    <n v="7.8755819999999996"/>
    <x v="2"/>
    <n v="891"/>
    <n v="6437"/>
    <n v="7328"/>
  </r>
  <r>
    <n v="643"/>
    <d v="2019-05-10T00:00:00"/>
    <x v="3"/>
    <n v="2019"/>
    <x v="9"/>
    <x v="0"/>
    <x v="6"/>
    <x v="1"/>
    <x v="1"/>
    <n v="25.215"/>
    <n v="29.009350000000001"/>
    <x v="5"/>
    <n v="62.75"/>
    <x v="1"/>
    <n v="7.1254499999999998"/>
    <x v="2"/>
    <n v="1516"/>
    <n v="6640"/>
    <n v="8156"/>
  </r>
  <r>
    <n v="644"/>
    <d v="2019-06-10T00:00:00"/>
    <x v="3"/>
    <n v="2019"/>
    <x v="9"/>
    <x v="0"/>
    <x v="0"/>
    <x v="0"/>
    <x v="1"/>
    <n v="22.720846999999999"/>
    <n v="26.92605"/>
    <x v="5"/>
    <n v="66.416700000000006"/>
    <x v="1"/>
    <n v="17.957674999999998"/>
    <x v="1"/>
    <n v="3031"/>
    <n v="4934"/>
    <n v="7965"/>
  </r>
  <r>
    <n v="645"/>
    <d v="2019-07-10T00:00:00"/>
    <x v="3"/>
    <n v="2019"/>
    <x v="9"/>
    <x v="0"/>
    <x v="1"/>
    <x v="0"/>
    <x v="0"/>
    <n v="17.049153"/>
    <n v="20.990649999999999"/>
    <x v="4"/>
    <n v="70.833299999999994"/>
    <x v="1"/>
    <n v="9.4578539999999993"/>
    <x v="2"/>
    <n v="781"/>
    <n v="2729"/>
    <n v="3510"/>
  </r>
  <r>
    <n v="646"/>
    <d v="2019-08-10T00:00:00"/>
    <x v="3"/>
    <n v="2019"/>
    <x v="9"/>
    <x v="1"/>
    <x v="2"/>
    <x v="0"/>
    <x v="0"/>
    <n v="15.716653000000001"/>
    <n v="19.380400000000002"/>
    <x v="0"/>
    <n v="70.958299999999994"/>
    <x v="1"/>
    <n v="12.708493000000001"/>
    <x v="0"/>
    <n v="874"/>
    <n v="4604"/>
    <n v="5478"/>
  </r>
  <r>
    <n v="647"/>
    <d v="2019-09-10T00:00:00"/>
    <x v="3"/>
    <n v="2019"/>
    <x v="9"/>
    <x v="0"/>
    <x v="3"/>
    <x v="1"/>
    <x v="0"/>
    <n v="18.313347"/>
    <n v="21.9056"/>
    <x v="4"/>
    <n v="76.166700000000006"/>
    <x v="1"/>
    <n v="12.7501"/>
    <x v="0"/>
    <n v="601"/>
    <n v="5791"/>
    <n v="6392"/>
  </r>
  <r>
    <n v="648"/>
    <d v="2019-10-10T00:00:00"/>
    <x v="3"/>
    <n v="2019"/>
    <x v="9"/>
    <x v="0"/>
    <x v="4"/>
    <x v="1"/>
    <x v="1"/>
    <n v="21.080846999999999"/>
    <n v="25.1571"/>
    <x v="5"/>
    <n v="63.083300000000001"/>
    <x v="1"/>
    <n v="12.584007"/>
    <x v="0"/>
    <n v="780"/>
    <n v="6911"/>
    <n v="7691"/>
  </r>
  <r>
    <n v="649"/>
    <d v="2019-11-10T00:00:00"/>
    <x v="3"/>
    <n v="2019"/>
    <x v="9"/>
    <x v="0"/>
    <x v="5"/>
    <x v="1"/>
    <x v="1"/>
    <n v="17.835000000000001"/>
    <n v="21.558350000000001"/>
    <x v="4"/>
    <n v="46.333300000000001"/>
    <x v="2"/>
    <n v="12.166931999999999"/>
    <x v="0"/>
    <n v="834"/>
    <n v="6736"/>
    <n v="7570"/>
  </r>
  <r>
    <n v="650"/>
    <d v="2019-12-10T00:00:00"/>
    <x v="3"/>
    <n v="2019"/>
    <x v="9"/>
    <x v="0"/>
    <x v="6"/>
    <x v="1"/>
    <x v="1"/>
    <n v="17.9375"/>
    <n v="21.653549999999999"/>
    <x v="4"/>
    <n v="53.916699999999999"/>
    <x v="2"/>
    <n v="15.751163999999999"/>
    <x v="1"/>
    <n v="1060"/>
    <n v="6222"/>
    <n v="7282"/>
  </r>
  <r>
    <n v="651"/>
    <s v="13/10/2019"/>
    <x v="3"/>
    <n v="2019"/>
    <x v="9"/>
    <x v="0"/>
    <x v="0"/>
    <x v="0"/>
    <x v="1"/>
    <n v="16.126653000000001"/>
    <n v="19.569800000000001"/>
    <x v="0"/>
    <n v="49.458300000000001"/>
    <x v="2"/>
    <n v="9.7915139999999994"/>
    <x v="2"/>
    <n v="2252"/>
    <n v="4857"/>
    <n v="7109"/>
  </r>
  <r>
    <n v="652"/>
    <s v="14/10/2019"/>
    <x v="3"/>
    <n v="2019"/>
    <x v="9"/>
    <x v="0"/>
    <x v="1"/>
    <x v="0"/>
    <x v="1"/>
    <n v="21.388347"/>
    <n v="25.4102"/>
    <x v="5"/>
    <n v="64.041700000000006"/>
    <x v="1"/>
    <n v="18.667003999999999"/>
    <x v="1"/>
    <n v="2080"/>
    <n v="4559"/>
    <n v="6639"/>
  </r>
  <r>
    <n v="653"/>
    <s v="15/10/2019"/>
    <x v="3"/>
    <n v="2019"/>
    <x v="9"/>
    <x v="0"/>
    <x v="2"/>
    <x v="1"/>
    <x v="0"/>
    <n v="23.028347"/>
    <n v="26.9575"/>
    <x v="5"/>
    <n v="70.75"/>
    <x v="1"/>
    <n v="19.834479000000002"/>
    <x v="1"/>
    <n v="760"/>
    <n v="5115"/>
    <n v="5875"/>
  </r>
  <r>
    <n v="654"/>
    <s v="16/10/2019"/>
    <x v="3"/>
    <n v="2019"/>
    <x v="9"/>
    <x v="0"/>
    <x v="3"/>
    <x v="1"/>
    <x v="1"/>
    <n v="19.201653"/>
    <n v="23.042300000000001"/>
    <x v="4"/>
    <n v="55.833300000000001"/>
    <x v="2"/>
    <n v="12.208807"/>
    <x v="0"/>
    <n v="922"/>
    <n v="6612"/>
    <n v="7534"/>
  </r>
  <r>
    <n v="655"/>
    <s v="17/10/2019"/>
    <x v="3"/>
    <n v="2019"/>
    <x v="9"/>
    <x v="0"/>
    <x v="4"/>
    <x v="1"/>
    <x v="1"/>
    <n v="18.689153000000001"/>
    <n v="22.505400000000002"/>
    <x v="4"/>
    <n v="69.291700000000006"/>
    <x v="1"/>
    <n v="6.7918570000000003"/>
    <x v="2"/>
    <n v="979"/>
    <n v="6482"/>
    <n v="7461"/>
  </r>
  <r>
    <n v="656"/>
    <s v="18/10/2019"/>
    <x v="3"/>
    <n v="2019"/>
    <x v="9"/>
    <x v="0"/>
    <x v="5"/>
    <x v="1"/>
    <x v="0"/>
    <n v="21.422499999999999"/>
    <n v="25.631250000000001"/>
    <x v="5"/>
    <n v="72.833299999999994"/>
    <x v="1"/>
    <n v="15.874779"/>
    <x v="1"/>
    <n v="1008"/>
    <n v="6501"/>
    <n v="7509"/>
  </r>
  <r>
    <n v="657"/>
    <s v="19/10/2019"/>
    <x v="3"/>
    <n v="2019"/>
    <x v="9"/>
    <x v="0"/>
    <x v="6"/>
    <x v="1"/>
    <x v="0"/>
    <n v="23.096653"/>
    <n v="26.8948"/>
    <x v="5"/>
    <n v="81.5"/>
    <x v="0"/>
    <n v="9.0419180000000008"/>
    <x v="2"/>
    <n v="753"/>
    <n v="4671"/>
    <n v="5424"/>
  </r>
  <r>
    <n v="658"/>
    <s v="20/10/2019"/>
    <x v="3"/>
    <n v="2019"/>
    <x v="9"/>
    <x v="0"/>
    <x v="0"/>
    <x v="0"/>
    <x v="1"/>
    <n v="19.850847000000002"/>
    <n v="23.642099999999999"/>
    <x v="4"/>
    <n v="57.291699999999999"/>
    <x v="2"/>
    <n v="7.8749789999999997"/>
    <x v="2"/>
    <n v="2806"/>
    <n v="5284"/>
    <n v="8090"/>
  </r>
  <r>
    <n v="659"/>
    <s v="21/10/2019"/>
    <x v="3"/>
    <n v="2019"/>
    <x v="9"/>
    <x v="0"/>
    <x v="1"/>
    <x v="0"/>
    <x v="1"/>
    <n v="19.030847000000001"/>
    <n v="22.821449999999999"/>
    <x v="4"/>
    <n v="51"/>
    <x v="2"/>
    <n v="11.125617999999999"/>
    <x v="0"/>
    <n v="2132"/>
    <n v="4692"/>
    <n v="6824"/>
  </r>
  <r>
    <n v="660"/>
    <s v="22/10/2019"/>
    <x v="3"/>
    <n v="2019"/>
    <x v="9"/>
    <x v="0"/>
    <x v="2"/>
    <x v="1"/>
    <x v="1"/>
    <n v="19.987500000000001"/>
    <n v="24.147099999999998"/>
    <x v="4"/>
    <n v="56.833300000000001"/>
    <x v="2"/>
    <n v="5.4593810999999999"/>
    <x v="2"/>
    <n v="830"/>
    <n v="6228"/>
    <n v="7058"/>
  </r>
  <r>
    <n v="661"/>
    <s v="23/10/2019"/>
    <x v="3"/>
    <n v="2019"/>
    <x v="9"/>
    <x v="0"/>
    <x v="3"/>
    <x v="1"/>
    <x v="1"/>
    <n v="22.310846999999999"/>
    <n v="26.5152"/>
    <x v="5"/>
    <n v="64.166700000000006"/>
    <x v="1"/>
    <n v="6.3345685999999999"/>
    <x v="2"/>
    <n v="841"/>
    <n v="6625"/>
    <n v="7466"/>
  </r>
  <r>
    <n v="662"/>
    <s v="24/10/2019"/>
    <x v="3"/>
    <n v="2019"/>
    <x v="9"/>
    <x v="0"/>
    <x v="4"/>
    <x v="1"/>
    <x v="1"/>
    <n v="24.087499999999999"/>
    <n v="27.936050000000002"/>
    <x v="5"/>
    <n v="63.625"/>
    <x v="1"/>
    <n v="4.8762064000000001"/>
    <x v="4"/>
    <n v="795"/>
    <n v="6898"/>
    <n v="7693"/>
  </r>
  <r>
    <n v="663"/>
    <s v="25/10/2019"/>
    <x v="3"/>
    <n v="2019"/>
    <x v="9"/>
    <x v="0"/>
    <x v="5"/>
    <x v="1"/>
    <x v="0"/>
    <n v="22.55"/>
    <n v="26.484400000000001"/>
    <x v="5"/>
    <n v="80.041700000000006"/>
    <x v="0"/>
    <n v="8.3331250000000008"/>
    <x v="2"/>
    <n v="875"/>
    <n v="6484"/>
    <n v="7359"/>
  </r>
  <r>
    <n v="664"/>
    <s v="26/10/2019"/>
    <x v="3"/>
    <n v="2019"/>
    <x v="9"/>
    <x v="0"/>
    <x v="6"/>
    <x v="1"/>
    <x v="0"/>
    <n v="22.379152999999999"/>
    <n v="26.137499999999999"/>
    <x v="5"/>
    <n v="80.708299999999994"/>
    <x v="0"/>
    <n v="8.8752890000000004"/>
    <x v="2"/>
    <n v="1182"/>
    <n v="6262"/>
    <n v="7444"/>
  </r>
  <r>
    <n v="665"/>
    <s v="27/10/2019"/>
    <x v="3"/>
    <n v="2019"/>
    <x v="9"/>
    <x v="0"/>
    <x v="0"/>
    <x v="0"/>
    <x v="0"/>
    <n v="21.73"/>
    <n v="25.75665"/>
    <x v="5"/>
    <n v="72"/>
    <x v="1"/>
    <n v="15.791364"/>
    <x v="1"/>
    <n v="2643"/>
    <n v="5209"/>
    <n v="7852"/>
  </r>
  <r>
    <n v="666"/>
    <s v="28/10/2019"/>
    <x v="3"/>
    <n v="2019"/>
    <x v="9"/>
    <x v="0"/>
    <x v="1"/>
    <x v="0"/>
    <x v="0"/>
    <n v="19.577500000000001"/>
    <n v="23.388549999999999"/>
    <x v="4"/>
    <n v="69.458299999999994"/>
    <x v="1"/>
    <n v="26.666536000000001"/>
    <x v="5"/>
    <n v="998"/>
    <n v="3461"/>
    <n v="4459"/>
  </r>
  <r>
    <n v="667"/>
    <s v="29/10/2019"/>
    <x v="3"/>
    <n v="2019"/>
    <x v="9"/>
    <x v="0"/>
    <x v="2"/>
    <x v="1"/>
    <x v="2"/>
    <n v="18.04"/>
    <n v="21.97"/>
    <x v="4"/>
    <n v="88"/>
    <x v="0"/>
    <n v="23.999400000000001"/>
    <x v="3"/>
    <n v="2"/>
    <n v="20"/>
    <n v="22"/>
  </r>
  <r>
    <n v="668"/>
    <s v="30/10/2019"/>
    <x v="3"/>
    <n v="2019"/>
    <x v="9"/>
    <x v="0"/>
    <x v="3"/>
    <x v="1"/>
    <x v="0"/>
    <n v="13.045462000000001"/>
    <n v="15.49545"/>
    <x v="0"/>
    <n v="82.545500000000004"/>
    <x v="0"/>
    <n v="14.271603000000001"/>
    <x v="0"/>
    <n v="87"/>
    <n v="1009"/>
    <n v="1096"/>
  </r>
  <r>
    <n v="669"/>
    <s v="31/10/2019"/>
    <x v="3"/>
    <n v="2019"/>
    <x v="9"/>
    <x v="0"/>
    <x v="4"/>
    <x v="1"/>
    <x v="0"/>
    <n v="14.657500000000001"/>
    <n v="18.055"/>
    <x v="0"/>
    <n v="66.666700000000006"/>
    <x v="1"/>
    <n v="11.166689"/>
    <x v="0"/>
    <n v="419"/>
    <n v="5147"/>
    <n v="5566"/>
  </r>
  <r>
    <n v="670"/>
    <d v="2019-01-11T00:00:00"/>
    <x v="3"/>
    <n v="2019"/>
    <x v="10"/>
    <x v="0"/>
    <x v="5"/>
    <x v="1"/>
    <x v="0"/>
    <n v="14.999153"/>
    <n v="18.4971"/>
    <x v="0"/>
    <n v="58.166699999999999"/>
    <x v="2"/>
    <n v="10.542182"/>
    <x v="0"/>
    <n v="466"/>
    <n v="5520"/>
    <n v="5986"/>
  </r>
  <r>
    <n v="671"/>
    <d v="2019-02-11T00:00:00"/>
    <x v="3"/>
    <n v="2019"/>
    <x v="10"/>
    <x v="0"/>
    <x v="6"/>
    <x v="1"/>
    <x v="1"/>
    <n v="14.555"/>
    <n v="17.802099999999999"/>
    <x v="0"/>
    <n v="52.208300000000001"/>
    <x v="2"/>
    <n v="17.833725000000001"/>
    <x v="1"/>
    <n v="618"/>
    <n v="5229"/>
    <n v="5847"/>
  </r>
  <r>
    <n v="672"/>
    <d v="2019-03-11T00:00:00"/>
    <x v="3"/>
    <n v="2019"/>
    <x v="10"/>
    <x v="0"/>
    <x v="0"/>
    <x v="0"/>
    <x v="0"/>
    <n v="14.076653"/>
    <n v="16.192299999999999"/>
    <x v="0"/>
    <n v="49.125"/>
    <x v="2"/>
    <n v="18.125443000000001"/>
    <x v="1"/>
    <n v="1029"/>
    <n v="4109"/>
    <n v="5138"/>
  </r>
  <r>
    <n v="673"/>
    <d v="2019-04-11T00:00:00"/>
    <x v="3"/>
    <n v="2019"/>
    <x v="10"/>
    <x v="0"/>
    <x v="1"/>
    <x v="0"/>
    <x v="1"/>
    <n v="13.359152999999999"/>
    <n v="16.476900000000001"/>
    <x v="0"/>
    <n v="53.291699999999999"/>
    <x v="2"/>
    <n v="12.000235999999999"/>
    <x v="0"/>
    <n v="1201"/>
    <n v="3906"/>
    <n v="5107"/>
  </r>
  <r>
    <n v="674"/>
    <d v="2019-05-11T00:00:00"/>
    <x v="3"/>
    <n v="2019"/>
    <x v="10"/>
    <x v="0"/>
    <x v="2"/>
    <x v="1"/>
    <x v="1"/>
    <n v="13.085846999999999"/>
    <n v="15.40375"/>
    <x v="0"/>
    <n v="49.416699999999999"/>
    <x v="2"/>
    <n v="15.833774999999999"/>
    <x v="1"/>
    <n v="378"/>
    <n v="4881"/>
    <n v="5259"/>
  </r>
  <r>
    <n v="675"/>
    <d v="2019-06-11T00:00:00"/>
    <x v="3"/>
    <n v="2019"/>
    <x v="10"/>
    <x v="0"/>
    <x v="3"/>
    <x v="1"/>
    <x v="1"/>
    <n v="11.514153"/>
    <n v="14.07835"/>
    <x v="2"/>
    <n v="56.708300000000001"/>
    <x v="2"/>
    <n v="11.625370999999999"/>
    <x v="0"/>
    <n v="466"/>
    <n v="5220"/>
    <n v="5686"/>
  </r>
  <r>
    <n v="676"/>
    <d v="2019-07-11T00:00:00"/>
    <x v="3"/>
    <n v="2019"/>
    <x v="10"/>
    <x v="0"/>
    <x v="4"/>
    <x v="1"/>
    <x v="0"/>
    <n v="12.129153000000001"/>
    <n v="13.73105"/>
    <x v="2"/>
    <n v="54.75"/>
    <x v="2"/>
    <n v="20.375236000000001"/>
    <x v="3"/>
    <n v="326"/>
    <n v="4709"/>
    <n v="5035"/>
  </r>
  <r>
    <n v="677"/>
    <d v="2019-08-11T00:00:00"/>
    <x v="3"/>
    <n v="2019"/>
    <x v="10"/>
    <x v="0"/>
    <x v="5"/>
    <x v="1"/>
    <x v="1"/>
    <n v="14.439133999999999"/>
    <n v="17.094550000000002"/>
    <x v="0"/>
    <n v="33.347799999999999"/>
    <x v="3"/>
    <n v="23.304945"/>
    <x v="3"/>
    <n v="340"/>
    <n v="4975"/>
    <n v="5315"/>
  </r>
  <r>
    <n v="678"/>
    <d v="2019-09-11T00:00:00"/>
    <x v="3"/>
    <n v="2019"/>
    <x v="10"/>
    <x v="0"/>
    <x v="6"/>
    <x v="1"/>
    <x v="1"/>
    <n v="14.828347000000001"/>
    <n v="17.77065"/>
    <x v="0"/>
    <n v="54.083300000000001"/>
    <x v="2"/>
    <n v="14.375386000000001"/>
    <x v="0"/>
    <n v="709"/>
    <n v="5283"/>
    <n v="5992"/>
  </r>
  <r>
    <n v="679"/>
    <d v="2019-10-11T00:00:00"/>
    <x v="3"/>
    <n v="2019"/>
    <x v="10"/>
    <x v="0"/>
    <x v="0"/>
    <x v="0"/>
    <x v="1"/>
    <n v="15.955847"/>
    <n v="19.696850000000001"/>
    <x v="0"/>
    <n v="64.541700000000006"/>
    <x v="1"/>
    <n v="3.8756686"/>
    <x v="4"/>
    <n v="2090"/>
    <n v="4446"/>
    <n v="6536"/>
  </r>
  <r>
    <n v="680"/>
    <d v="2019-11-11T00:00:00"/>
    <x v="3"/>
    <n v="2019"/>
    <x v="10"/>
    <x v="0"/>
    <x v="1"/>
    <x v="0"/>
    <x v="1"/>
    <n v="17.254152999999999"/>
    <n v="21.085650000000001"/>
    <x v="4"/>
    <n v="65.916700000000006"/>
    <x v="1"/>
    <n v="8.5425000000000004"/>
    <x v="2"/>
    <n v="2290"/>
    <n v="4562"/>
    <n v="6852"/>
  </r>
  <r>
    <n v="681"/>
    <d v="2019-12-11T00:00:00"/>
    <x v="3"/>
    <n v="2019"/>
    <x v="10"/>
    <x v="1"/>
    <x v="2"/>
    <x v="0"/>
    <x v="1"/>
    <n v="19.885000000000002"/>
    <n v="23.76915"/>
    <x v="4"/>
    <n v="74.166700000000006"/>
    <x v="1"/>
    <n v="11.625639"/>
    <x v="0"/>
    <n v="1097"/>
    <n v="5172"/>
    <n v="6269"/>
  </r>
  <r>
    <n v="682"/>
    <s v="13/11/2019"/>
    <x v="3"/>
    <n v="2019"/>
    <x v="10"/>
    <x v="0"/>
    <x v="3"/>
    <x v="1"/>
    <x v="0"/>
    <n v="14.076653"/>
    <n v="16.161249999999999"/>
    <x v="0"/>
    <n v="66.291700000000006"/>
    <x v="1"/>
    <n v="22.917082000000001"/>
    <x v="3"/>
    <n v="327"/>
    <n v="3767"/>
    <n v="4094"/>
  </r>
  <r>
    <n v="683"/>
    <s v="14/11/2019"/>
    <x v="3"/>
    <n v="2019"/>
    <x v="10"/>
    <x v="0"/>
    <x v="4"/>
    <x v="1"/>
    <x v="1"/>
    <n v="11.855847000000001"/>
    <n v="14.078150000000001"/>
    <x v="2"/>
    <n v="55.208300000000001"/>
    <x v="2"/>
    <n v="13.374874999999999"/>
    <x v="0"/>
    <n v="373"/>
    <n v="5122"/>
    <n v="5495"/>
  </r>
  <r>
    <n v="684"/>
    <s v="15/11/2019"/>
    <x v="3"/>
    <n v="2019"/>
    <x v="10"/>
    <x v="0"/>
    <x v="5"/>
    <x v="1"/>
    <x v="0"/>
    <n v="13.188347"/>
    <n v="16.224599999999999"/>
    <x v="0"/>
    <n v="62.041699999999999"/>
    <x v="1"/>
    <n v="10.250128999999999"/>
    <x v="0"/>
    <n v="320"/>
    <n v="5125"/>
    <n v="5445"/>
  </r>
  <r>
    <n v="685"/>
    <s v="16/11/2019"/>
    <x v="3"/>
    <n v="2019"/>
    <x v="10"/>
    <x v="0"/>
    <x v="6"/>
    <x v="1"/>
    <x v="1"/>
    <n v="14.145"/>
    <n v="17.360199999999999"/>
    <x v="0"/>
    <n v="52.458300000000001"/>
    <x v="2"/>
    <n v="11.458674999999999"/>
    <x v="0"/>
    <n v="484"/>
    <n v="5214"/>
    <n v="5698"/>
  </r>
  <r>
    <n v="686"/>
    <s v="17/11/2019"/>
    <x v="3"/>
    <n v="2019"/>
    <x v="10"/>
    <x v="0"/>
    <x v="0"/>
    <x v="0"/>
    <x v="1"/>
    <n v="13.324999999999999"/>
    <n v="16.31915"/>
    <x v="0"/>
    <n v="54.541699999999999"/>
    <x v="2"/>
    <n v="12.041843"/>
    <x v="0"/>
    <n v="1313"/>
    <n v="4316"/>
    <n v="5629"/>
  </r>
  <r>
    <n v="687"/>
    <s v="18/11/2019"/>
    <x v="3"/>
    <n v="2019"/>
    <x v="10"/>
    <x v="0"/>
    <x v="1"/>
    <x v="0"/>
    <x v="1"/>
    <n v="14.0425"/>
    <n v="16.8873"/>
    <x v="0"/>
    <n v="69.291700000000006"/>
    <x v="1"/>
    <n v="15.250004000000001"/>
    <x v="1"/>
    <n v="922"/>
    <n v="3747"/>
    <n v="4669"/>
  </r>
  <r>
    <n v="688"/>
    <s v="19/11/2019"/>
    <x v="3"/>
    <n v="2019"/>
    <x v="10"/>
    <x v="0"/>
    <x v="2"/>
    <x v="1"/>
    <x v="0"/>
    <n v="15.614153"/>
    <n v="18.78105"/>
    <x v="0"/>
    <n v="62.333300000000001"/>
    <x v="1"/>
    <n v="15.749489000000001"/>
    <x v="1"/>
    <n v="449"/>
    <n v="5050"/>
    <n v="5499"/>
  </r>
  <r>
    <n v="689"/>
    <s v="20/11/2019"/>
    <x v="3"/>
    <n v="2019"/>
    <x v="10"/>
    <x v="0"/>
    <x v="3"/>
    <x v="1"/>
    <x v="0"/>
    <n v="15.340847"/>
    <n v="19.033349999999999"/>
    <x v="0"/>
    <n v="68.5"/>
    <x v="1"/>
    <n v="5.5425750000000003"/>
    <x v="2"/>
    <n v="534"/>
    <n v="5100"/>
    <n v="5634"/>
  </r>
  <r>
    <n v="690"/>
    <s v="21/11/2019"/>
    <x v="3"/>
    <n v="2019"/>
    <x v="10"/>
    <x v="0"/>
    <x v="4"/>
    <x v="1"/>
    <x v="1"/>
    <n v="14.486653"/>
    <n v="18.244599999999998"/>
    <x v="0"/>
    <n v="61.375"/>
    <x v="1"/>
    <n v="6.9174819999999997"/>
    <x v="2"/>
    <n v="615"/>
    <n v="4531"/>
    <n v="5146"/>
  </r>
  <r>
    <n v="691"/>
    <s v="22/11/2019"/>
    <x v="3"/>
    <n v="2019"/>
    <x v="10"/>
    <x v="1"/>
    <x v="5"/>
    <x v="0"/>
    <x v="1"/>
    <n v="13.94"/>
    <n v="17.518550000000001"/>
    <x v="0"/>
    <n v="58.041699999999999"/>
    <x v="2"/>
    <n v="3.5423436000000001"/>
    <x v="4"/>
    <n v="955"/>
    <n v="1470"/>
    <n v="2425"/>
  </r>
  <r>
    <n v="692"/>
    <s v="23/11/2019"/>
    <x v="3"/>
    <n v="2019"/>
    <x v="10"/>
    <x v="0"/>
    <x v="6"/>
    <x v="1"/>
    <x v="1"/>
    <n v="15.101653000000001"/>
    <n v="18.938949999999998"/>
    <x v="0"/>
    <n v="56.875"/>
    <x v="2"/>
    <n v="9.9174070000000007"/>
    <x v="2"/>
    <n v="1603"/>
    <n v="2307"/>
    <n v="3910"/>
  </r>
  <r>
    <n v="693"/>
    <s v="24/11/2019"/>
    <x v="3"/>
    <n v="2019"/>
    <x v="10"/>
    <x v="0"/>
    <x v="0"/>
    <x v="0"/>
    <x v="1"/>
    <n v="11.411652999999999"/>
    <n v="12.437099999999999"/>
    <x v="2"/>
    <n v="40.458300000000001"/>
    <x v="2"/>
    <n v="25.250357000000001"/>
    <x v="5"/>
    <n v="532"/>
    <n v="1745"/>
    <n v="2277"/>
  </r>
  <r>
    <n v="694"/>
    <s v="25/11/2019"/>
    <x v="3"/>
    <n v="2019"/>
    <x v="10"/>
    <x v="0"/>
    <x v="1"/>
    <x v="0"/>
    <x v="1"/>
    <n v="10.079153"/>
    <n v="12.879149999999999"/>
    <x v="2"/>
    <n v="46.833300000000001"/>
    <x v="2"/>
    <n v="10.083500000000001"/>
    <x v="0"/>
    <n v="309"/>
    <n v="2115"/>
    <n v="2424"/>
  </r>
  <r>
    <n v="695"/>
    <s v="26/11/2019"/>
    <x v="3"/>
    <n v="2019"/>
    <x v="10"/>
    <x v="0"/>
    <x v="2"/>
    <x v="1"/>
    <x v="1"/>
    <n v="12.846653"/>
    <n v="16.950199999999999"/>
    <x v="0"/>
    <n v="53.541699999999999"/>
    <x v="2"/>
    <n v="3.1255500000000001"/>
    <x v="4"/>
    <n v="337"/>
    <n v="4750"/>
    <n v="5087"/>
  </r>
  <r>
    <n v="696"/>
    <s v="27/11/2019"/>
    <x v="3"/>
    <n v="2019"/>
    <x v="10"/>
    <x v="0"/>
    <x v="3"/>
    <x v="1"/>
    <x v="0"/>
    <n v="11.958347"/>
    <n v="14.0779"/>
    <x v="2"/>
    <n v="78.666700000000006"/>
    <x v="1"/>
    <n v="15.916653999999999"/>
    <x v="1"/>
    <n v="123"/>
    <n v="3836"/>
    <n v="3959"/>
  </r>
  <r>
    <n v="697"/>
    <s v="28/11/2019"/>
    <x v="3"/>
    <n v="2019"/>
    <x v="10"/>
    <x v="0"/>
    <x v="4"/>
    <x v="1"/>
    <x v="1"/>
    <n v="12.163347"/>
    <n v="14.488099999999999"/>
    <x v="2"/>
    <n v="50.625"/>
    <x v="2"/>
    <n v="14.125007"/>
    <x v="0"/>
    <n v="198"/>
    <n v="5062"/>
    <n v="5260"/>
  </r>
  <r>
    <n v="698"/>
    <s v="29/11/2019"/>
    <x v="3"/>
    <n v="2019"/>
    <x v="10"/>
    <x v="0"/>
    <x v="5"/>
    <x v="1"/>
    <x v="1"/>
    <n v="11.51567"/>
    <n v="14.921099999999999"/>
    <x v="2"/>
    <n v="55.565199999999997"/>
    <x v="2"/>
    <n v="7.7399740000000001"/>
    <x v="2"/>
    <n v="243"/>
    <n v="5080"/>
    <n v="5323"/>
  </r>
  <r>
    <n v="699"/>
    <s v="30/11/2019"/>
    <x v="3"/>
    <n v="2019"/>
    <x v="10"/>
    <x v="0"/>
    <x v="6"/>
    <x v="1"/>
    <x v="1"/>
    <n v="12.231653"/>
    <n v="16.193349999999999"/>
    <x v="0"/>
    <n v="64.958299999999994"/>
    <x v="1"/>
    <n v="3.9175436000000001"/>
    <x v="4"/>
    <n v="362"/>
    <n v="5306"/>
    <n v="5668"/>
  </r>
  <r>
    <n v="700"/>
    <d v="2019-01-12T00:00:00"/>
    <x v="3"/>
    <n v="2019"/>
    <x v="11"/>
    <x v="0"/>
    <x v="0"/>
    <x v="0"/>
    <x v="0"/>
    <n v="12.231653"/>
    <n v="15.8452"/>
    <x v="0"/>
    <n v="80.666700000000006"/>
    <x v="0"/>
    <n v="4.0001813999999998"/>
    <x v="4"/>
    <n v="951"/>
    <n v="4240"/>
    <n v="5191"/>
  </r>
  <r>
    <n v="701"/>
    <d v="2019-02-12T00:00:00"/>
    <x v="3"/>
    <n v="2019"/>
    <x v="11"/>
    <x v="0"/>
    <x v="1"/>
    <x v="0"/>
    <x v="0"/>
    <n v="14.2475"/>
    <n v="17.9604"/>
    <x v="0"/>
    <n v="82.333299999999994"/>
    <x v="0"/>
    <n v="8.3333929999999992"/>
    <x v="2"/>
    <n v="892"/>
    <n v="3757"/>
    <n v="4649"/>
  </r>
  <r>
    <n v="702"/>
    <d v="2019-03-12T00:00:00"/>
    <x v="3"/>
    <n v="2019"/>
    <x v="11"/>
    <x v="0"/>
    <x v="2"/>
    <x v="1"/>
    <x v="1"/>
    <n v="18.552499999999998"/>
    <n v="22.7898"/>
    <x v="4"/>
    <n v="76.75"/>
    <x v="1"/>
    <n v="5.5422935999999998"/>
    <x v="2"/>
    <n v="555"/>
    <n v="5679"/>
    <n v="6234"/>
  </r>
  <r>
    <n v="703"/>
    <d v="2019-04-12T00:00:00"/>
    <x v="3"/>
    <n v="2019"/>
    <x v="11"/>
    <x v="0"/>
    <x v="3"/>
    <x v="1"/>
    <x v="1"/>
    <n v="19.509153000000001"/>
    <n v="23.4527"/>
    <x v="4"/>
    <n v="73.375"/>
    <x v="1"/>
    <n v="11.666643000000001"/>
    <x v="0"/>
    <n v="551"/>
    <n v="6055"/>
    <n v="6606"/>
  </r>
  <r>
    <n v="704"/>
    <d v="2019-05-12T00:00:00"/>
    <x v="3"/>
    <n v="2019"/>
    <x v="11"/>
    <x v="0"/>
    <x v="4"/>
    <x v="1"/>
    <x v="1"/>
    <n v="17.971653"/>
    <n v="21.400600000000001"/>
    <x v="4"/>
    <n v="48.5"/>
    <x v="2"/>
    <n v="21.709406999999999"/>
    <x v="3"/>
    <n v="331"/>
    <n v="5398"/>
    <n v="5729"/>
  </r>
  <r>
    <n v="705"/>
    <d v="2019-06-12T00:00:00"/>
    <x v="3"/>
    <n v="2019"/>
    <x v="11"/>
    <x v="0"/>
    <x v="5"/>
    <x v="1"/>
    <x v="1"/>
    <n v="10.489153"/>
    <n v="12.9102"/>
    <x v="2"/>
    <n v="50.875"/>
    <x v="2"/>
    <n v="11.708518"/>
    <x v="0"/>
    <n v="340"/>
    <n v="5035"/>
    <n v="5375"/>
  </r>
  <r>
    <n v="706"/>
    <d v="2019-07-12T00:00:00"/>
    <x v="3"/>
    <n v="2019"/>
    <x v="11"/>
    <x v="0"/>
    <x v="6"/>
    <x v="1"/>
    <x v="0"/>
    <n v="13.154153000000001"/>
    <n v="16.097899999999999"/>
    <x v="0"/>
    <n v="76.416700000000006"/>
    <x v="1"/>
    <n v="8.7501999999999995"/>
    <x v="2"/>
    <n v="349"/>
    <n v="4659"/>
    <n v="5008"/>
  </r>
  <r>
    <n v="707"/>
    <d v="2019-08-12T00:00:00"/>
    <x v="3"/>
    <n v="2019"/>
    <x v="11"/>
    <x v="0"/>
    <x v="0"/>
    <x v="0"/>
    <x v="0"/>
    <n v="15.648346999999999"/>
    <n v="19.4754"/>
    <x v="0"/>
    <n v="91.125"/>
    <x v="0"/>
    <n v="6.7923929999999997"/>
    <x v="2"/>
    <n v="1153"/>
    <n v="4429"/>
    <n v="5582"/>
  </r>
  <r>
    <n v="708"/>
    <d v="2019-09-12T00:00:00"/>
    <x v="3"/>
    <n v="2019"/>
    <x v="11"/>
    <x v="0"/>
    <x v="1"/>
    <x v="0"/>
    <x v="0"/>
    <n v="15.750847"/>
    <n v="19.507300000000001"/>
    <x v="0"/>
    <n v="90.541700000000006"/>
    <x v="0"/>
    <n v="10.584325"/>
    <x v="0"/>
    <n v="441"/>
    <n v="2787"/>
    <n v="3228"/>
  </r>
  <r>
    <n v="709"/>
    <d v="2019-10-12T00:00:00"/>
    <x v="3"/>
    <n v="2019"/>
    <x v="11"/>
    <x v="0"/>
    <x v="2"/>
    <x v="1"/>
    <x v="0"/>
    <n v="17.869153000000001"/>
    <n v="21.778749999999999"/>
    <x v="4"/>
    <n v="92.5"/>
    <x v="0"/>
    <n v="12.750636"/>
    <x v="0"/>
    <n v="329"/>
    <n v="4841"/>
    <n v="5170"/>
  </r>
  <r>
    <n v="710"/>
    <d v="2019-11-12T00:00:00"/>
    <x v="3"/>
    <n v="2019"/>
    <x v="11"/>
    <x v="0"/>
    <x v="3"/>
    <x v="1"/>
    <x v="0"/>
    <n v="14.486653"/>
    <n v="16.918150000000001"/>
    <x v="0"/>
    <n v="59.666699999999999"/>
    <x v="2"/>
    <n v="19.834479000000002"/>
    <x v="1"/>
    <n v="282"/>
    <n v="5219"/>
    <n v="5501"/>
  </r>
  <r>
    <n v="711"/>
    <d v="2019-12-12T00:00:00"/>
    <x v="3"/>
    <n v="2019"/>
    <x v="11"/>
    <x v="0"/>
    <x v="4"/>
    <x v="1"/>
    <x v="0"/>
    <n v="12.1975"/>
    <n v="14.866899999999999"/>
    <x v="2"/>
    <n v="53.833300000000001"/>
    <x v="2"/>
    <n v="10.916779"/>
    <x v="0"/>
    <n v="310"/>
    <n v="5009"/>
    <n v="5319"/>
  </r>
  <r>
    <n v="712"/>
    <s v="13/12/2019"/>
    <x v="3"/>
    <n v="2019"/>
    <x v="11"/>
    <x v="0"/>
    <x v="5"/>
    <x v="1"/>
    <x v="1"/>
    <n v="12.129153000000001"/>
    <n v="14.7094"/>
    <x v="2"/>
    <n v="48.583300000000001"/>
    <x v="2"/>
    <n v="11.666643000000001"/>
    <x v="0"/>
    <n v="425"/>
    <n v="5107"/>
    <n v="5532"/>
  </r>
  <r>
    <n v="713"/>
    <s v="14/12/2019"/>
    <x v="3"/>
    <n v="2019"/>
    <x v="11"/>
    <x v="0"/>
    <x v="6"/>
    <x v="1"/>
    <x v="1"/>
    <n v="11.548347"/>
    <n v="14.7096"/>
    <x v="2"/>
    <n v="64.291700000000006"/>
    <x v="1"/>
    <n v="8.7923430000000007"/>
    <x v="2"/>
    <n v="429"/>
    <n v="5182"/>
    <n v="5611"/>
  </r>
  <r>
    <n v="714"/>
    <s v="15/12/2019"/>
    <x v="3"/>
    <n v="2019"/>
    <x v="11"/>
    <x v="0"/>
    <x v="0"/>
    <x v="0"/>
    <x v="1"/>
    <n v="13.290846999999999"/>
    <n v="16.919149999999998"/>
    <x v="0"/>
    <n v="65.041700000000006"/>
    <x v="1"/>
    <n v="7.1254499999999998"/>
    <x v="2"/>
    <n v="767"/>
    <n v="4280"/>
    <n v="5047"/>
  </r>
  <r>
    <n v="715"/>
    <s v="16/12/2019"/>
    <x v="3"/>
    <n v="2019"/>
    <x v="11"/>
    <x v="0"/>
    <x v="1"/>
    <x v="0"/>
    <x v="0"/>
    <n v="14.862500000000001"/>
    <n v="18.4969"/>
    <x v="0"/>
    <n v="83.875"/>
    <x v="0"/>
    <n v="6.749714"/>
    <x v="2"/>
    <n v="538"/>
    <n v="3248"/>
    <n v="3786"/>
  </r>
  <r>
    <n v="716"/>
    <s v="17/12/2019"/>
    <x v="3"/>
    <n v="2019"/>
    <x v="11"/>
    <x v="0"/>
    <x v="2"/>
    <x v="1"/>
    <x v="0"/>
    <n v="16.126653000000001"/>
    <n v="20.074999999999999"/>
    <x v="4"/>
    <n v="90.708299999999994"/>
    <x v="0"/>
    <n v="6.5833060999999997"/>
    <x v="2"/>
    <n v="212"/>
    <n v="4373"/>
    <n v="4585"/>
  </r>
  <r>
    <n v="717"/>
    <s v="18/12/2019"/>
    <x v="3"/>
    <n v="2019"/>
    <x v="11"/>
    <x v="0"/>
    <x v="3"/>
    <x v="1"/>
    <x v="1"/>
    <n v="16.844152999999999"/>
    <n v="20.485399999999998"/>
    <x v="4"/>
    <n v="66.625"/>
    <x v="1"/>
    <n v="14.834068"/>
    <x v="0"/>
    <n v="433"/>
    <n v="5124"/>
    <n v="5557"/>
  </r>
  <r>
    <n v="718"/>
    <s v="19/12/2019"/>
    <x v="3"/>
    <n v="2019"/>
    <x v="11"/>
    <x v="0"/>
    <x v="4"/>
    <x v="1"/>
    <x v="1"/>
    <n v="13.6325"/>
    <n v="17.1081"/>
    <x v="0"/>
    <n v="62.541699999999999"/>
    <x v="1"/>
    <n v="12.334163999999999"/>
    <x v="0"/>
    <n v="333"/>
    <n v="4934"/>
    <n v="5267"/>
  </r>
  <r>
    <n v="719"/>
    <s v="20/12/2019"/>
    <x v="3"/>
    <n v="2019"/>
    <x v="11"/>
    <x v="0"/>
    <x v="5"/>
    <x v="1"/>
    <x v="0"/>
    <n v="13.53"/>
    <n v="16.760850000000001"/>
    <x v="0"/>
    <n v="66.791700000000006"/>
    <x v="1"/>
    <n v="8.8750210000000003"/>
    <x v="2"/>
    <n v="314"/>
    <n v="3814"/>
    <n v="4128"/>
  </r>
  <r>
    <n v="720"/>
    <s v="21/12/2019"/>
    <x v="0"/>
    <n v="2019"/>
    <x v="11"/>
    <x v="0"/>
    <x v="6"/>
    <x v="1"/>
    <x v="0"/>
    <n v="13.393347"/>
    <n v="15.08835"/>
    <x v="0"/>
    <n v="55.666699999999999"/>
    <x v="2"/>
    <n v="25.083660999999999"/>
    <x v="5"/>
    <n v="221"/>
    <n v="3402"/>
    <n v="3623"/>
  </r>
  <r>
    <n v="721"/>
    <s v="22/12/2019"/>
    <x v="0"/>
    <n v="2019"/>
    <x v="11"/>
    <x v="0"/>
    <x v="0"/>
    <x v="0"/>
    <x v="1"/>
    <n v="10.899153"/>
    <n v="11.80565"/>
    <x v="2"/>
    <n v="44.125"/>
    <x v="2"/>
    <n v="27.292182"/>
    <x v="5"/>
    <n v="205"/>
    <n v="1544"/>
    <n v="1749"/>
  </r>
  <r>
    <n v="722"/>
    <s v="23/12/2019"/>
    <x v="0"/>
    <n v="2019"/>
    <x v="11"/>
    <x v="0"/>
    <x v="1"/>
    <x v="0"/>
    <x v="1"/>
    <n v="10.079153"/>
    <n v="12.973549999999999"/>
    <x v="2"/>
    <n v="51.541699999999999"/>
    <x v="2"/>
    <n v="8.9165609999999997"/>
    <x v="2"/>
    <n v="408"/>
    <n v="1379"/>
    <n v="1787"/>
  </r>
  <r>
    <n v="723"/>
    <s v="24/12/2019"/>
    <x v="0"/>
    <n v="2019"/>
    <x v="11"/>
    <x v="0"/>
    <x v="2"/>
    <x v="1"/>
    <x v="0"/>
    <n v="9.4834639999999997"/>
    <n v="12.945"/>
    <x v="2"/>
    <n v="79.130399999999995"/>
    <x v="1"/>
    <n v="5.1744367999999996"/>
    <x v="2"/>
    <n v="174"/>
    <n v="746"/>
    <n v="920"/>
  </r>
  <r>
    <n v="724"/>
    <s v="25/12/2019"/>
    <x v="0"/>
    <n v="2019"/>
    <x v="11"/>
    <x v="1"/>
    <x v="3"/>
    <x v="0"/>
    <x v="0"/>
    <n v="11.943464000000001"/>
    <n v="14.72325"/>
    <x v="2"/>
    <n v="73.478300000000004"/>
    <x v="1"/>
    <n v="11.304641999999999"/>
    <x v="0"/>
    <n v="440"/>
    <n v="573"/>
    <n v="1013"/>
  </r>
  <r>
    <n v="725"/>
    <s v="26/12/2019"/>
    <x v="0"/>
    <n v="2019"/>
    <x v="11"/>
    <x v="0"/>
    <x v="4"/>
    <x v="1"/>
    <x v="2"/>
    <n v="9.9766530000000007"/>
    <n v="11.01665"/>
    <x v="2"/>
    <n v="82.333299999999994"/>
    <x v="0"/>
    <n v="21.208582"/>
    <x v="3"/>
    <n v="9"/>
    <n v="432"/>
    <n v="441"/>
  </r>
  <r>
    <n v="726"/>
    <s v="27/12/2019"/>
    <x v="0"/>
    <n v="2019"/>
    <x v="11"/>
    <x v="0"/>
    <x v="5"/>
    <x v="1"/>
    <x v="0"/>
    <n v="10.420847"/>
    <n v="11.332100000000001"/>
    <x v="2"/>
    <n v="65.291700000000006"/>
    <x v="1"/>
    <n v="23.458911000000001"/>
    <x v="3"/>
    <n v="247"/>
    <n v="1867"/>
    <n v="2114"/>
  </r>
  <r>
    <n v="727"/>
    <s v="28/12/2019"/>
    <x v="0"/>
    <n v="2019"/>
    <x v="11"/>
    <x v="0"/>
    <x v="6"/>
    <x v="1"/>
    <x v="0"/>
    <n v="10.386653000000001"/>
    <n v="12.7523"/>
    <x v="2"/>
    <n v="59"/>
    <x v="2"/>
    <n v="10.416556999999999"/>
    <x v="0"/>
    <n v="644"/>
    <n v="2451"/>
    <n v="3095"/>
  </r>
  <r>
    <n v="728"/>
    <s v="29/12/2019"/>
    <x v="0"/>
    <n v="2019"/>
    <x v="11"/>
    <x v="0"/>
    <x v="0"/>
    <x v="0"/>
    <x v="0"/>
    <n v="10.386653000000001"/>
    <n v="12.12"/>
    <x v="2"/>
    <n v="75.291700000000006"/>
    <x v="1"/>
    <n v="8.3336609999999993"/>
    <x v="2"/>
    <n v="159"/>
    <n v="1182"/>
    <n v="1341"/>
  </r>
  <r>
    <n v="729"/>
    <s v="30/12/2019"/>
    <x v="0"/>
    <n v="2019"/>
    <x v="11"/>
    <x v="0"/>
    <x v="1"/>
    <x v="0"/>
    <x v="1"/>
    <n v="10.489153"/>
    <n v="11.585000000000001"/>
    <x v="2"/>
    <n v="48.333300000000001"/>
    <x v="2"/>
    <n v="23.500518"/>
    <x v="3"/>
    <n v="364"/>
    <n v="1432"/>
    <n v="1796"/>
  </r>
  <r>
    <n v="730"/>
    <s v="31/12/2019"/>
    <x v="0"/>
    <n v="2019"/>
    <x v="11"/>
    <x v="0"/>
    <x v="2"/>
    <x v="1"/>
    <x v="0"/>
    <n v="8.8491529999999994"/>
    <n v="11.17435"/>
    <x v="2"/>
    <n v="57.75"/>
    <x v="2"/>
    <n v="10.374682"/>
    <x v="0"/>
    <n v="439"/>
    <n v="2290"/>
    <n v="27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Обобщена таблица10"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B74:E82" firstHeaderRow="0" firstDataRow="1" firstDataCol="1"/>
  <pivotFields count="19">
    <pivotField numFmtId="1" showAll="0"/>
    <pivotField showAll="0"/>
    <pivotField showAll="0"/>
    <pivotField showAll="0"/>
    <pivotField showAll="0"/>
    <pivotField showAll="0"/>
    <pivotField showAll="0"/>
    <pivotField showAll="0"/>
    <pivotField showAll="0"/>
    <pivotField numFmtId="1" showAll="0"/>
    <pivotField numFmtId="1" showAll="0"/>
    <pivotField showAll="0"/>
    <pivotField numFmtId="1" showAll="0"/>
    <pivotField showAll="0" sortType="descending" defaultSubtotal="0">
      <items count="5">
        <item x="4"/>
        <item x="3"/>
        <item x="2"/>
        <item x="1"/>
        <item x="0"/>
      </items>
      <autoSortScope>
        <pivotArea dataOnly="0" outline="0" fieldPosition="0">
          <references count="1">
            <reference field="4294967294" count="1" selected="0">
              <x v="0"/>
            </reference>
          </references>
        </pivotArea>
      </autoSortScope>
    </pivotField>
    <pivotField numFmtId="1" showAll="0"/>
    <pivotField axis="axisRow" showAll="0" sortType="descending" defaultSubtotal="0">
      <items count="7">
        <item x="4"/>
        <item x="0"/>
        <item x="1"/>
        <item x="3"/>
        <item x="5"/>
        <item x="6"/>
        <item x="2"/>
      </items>
      <autoSortScope>
        <pivotArea dataOnly="0" outline="0" fieldPosition="0">
          <references count="1">
            <reference field="4294967294" count="1" selected="0">
              <x v="0"/>
            </reference>
          </references>
        </pivotArea>
      </autoSortScope>
    </pivotField>
    <pivotField dataField="1" numFmtId="1" showAll="0"/>
    <pivotField dataField="1" numFmtId="1" showAll="0"/>
    <pivotField dataField="1" numFmtId="1" showAll="0"/>
  </pivotFields>
  <rowFields count="1">
    <field x="15"/>
  </rowFields>
  <rowItems count="8">
    <i>
      <x v="6"/>
    </i>
    <i>
      <x/>
    </i>
    <i>
      <x v="1"/>
    </i>
    <i>
      <x v="2"/>
    </i>
    <i>
      <x v="3"/>
    </i>
    <i>
      <x v="4"/>
    </i>
    <i>
      <x v="5"/>
    </i>
    <i t="grand">
      <x/>
    </i>
  </rowItems>
  <colFields count="1">
    <field x="-2"/>
  </colFields>
  <colItems count="3">
    <i>
      <x/>
    </i>
    <i i="1">
      <x v="1"/>
    </i>
    <i i="2">
      <x v="2"/>
    </i>
  </colItems>
  <dataFields count="3">
    <dataField name="Средно от cnt" fld="18" subtotal="average" baseField="0" baseItem="1"/>
    <dataField name="Средно от registered" fld="17" subtotal="average" baseField="0" baseItem="1"/>
    <dataField name="Средно от casual" fld="16" subtotal="average" baseField="0" baseItem="1"/>
  </dataFields>
  <formats count="3">
    <format dxfId="0">
      <pivotArea outline="0" collapsedLevelsAreSubtotals="1" fieldPosition="0"/>
    </format>
    <format dxfId="1">
      <pivotArea outline="0" collapsedLevelsAreSubtotals="1" fieldPosition="0"/>
    </format>
    <format dxfId="2">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Обобщена таблица9"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7">
  <location ref="B63:E69" firstHeaderRow="0" firstDataRow="1" firstDataCol="1"/>
  <pivotFields count="19">
    <pivotField numFmtId="1" showAll="0"/>
    <pivotField showAll="0"/>
    <pivotField showAll="0"/>
    <pivotField showAll="0"/>
    <pivotField showAll="0"/>
    <pivotField showAll="0"/>
    <pivotField showAll="0"/>
    <pivotField showAll="0"/>
    <pivotField showAll="0"/>
    <pivotField numFmtId="1" showAll="0"/>
    <pivotField numFmtId="1" showAll="0"/>
    <pivotField showAll="0"/>
    <pivotField numFmtId="1" showAll="0"/>
    <pivotField axis="axisRow" showAll="0" sortType="descending" defaultSubtotal="0">
      <items count="5">
        <item x="4"/>
        <item x="3"/>
        <item x="2"/>
        <item x="1"/>
        <item x="0"/>
      </items>
      <autoSortScope>
        <pivotArea dataOnly="0" outline="0" fieldPosition="0">
          <references count="1">
            <reference field="4294967294" count="1" selected="0">
              <x v="0"/>
            </reference>
          </references>
        </pivotArea>
      </autoSortScope>
    </pivotField>
    <pivotField numFmtId="1" showAll="0"/>
    <pivotField showAll="0" defaultSubtotal="0"/>
    <pivotField dataField="1" numFmtId="1" showAll="0"/>
    <pivotField dataField="1" numFmtId="1" showAll="0"/>
    <pivotField dataField="1" numFmtId="1" showAll="0"/>
  </pivotFields>
  <rowFields count="1">
    <field x="13"/>
  </rowFields>
  <rowItems count="6">
    <i>
      <x v="3"/>
    </i>
    <i>
      <x v="2"/>
    </i>
    <i>
      <x v="1"/>
    </i>
    <i>
      <x v="4"/>
    </i>
    <i>
      <x/>
    </i>
    <i t="grand">
      <x/>
    </i>
  </rowItems>
  <colFields count="1">
    <field x="-2"/>
  </colFields>
  <colItems count="3">
    <i>
      <x/>
    </i>
    <i i="1">
      <x v="1"/>
    </i>
    <i i="2">
      <x v="2"/>
    </i>
  </colItems>
  <dataFields count="3">
    <dataField name="Средно от cnt" fld="18" subtotal="average" baseField="0" baseItem="1"/>
    <dataField name="Средно от registered" fld="17" subtotal="average" baseField="0" baseItem="1"/>
    <dataField name="Средно от casual" fld="16" subtotal="average" baseField="0" baseItem="1"/>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Обобщена таблица8"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A42:D52" firstHeaderRow="0" firstDataRow="1" firstDataCol="1"/>
  <pivotFields count="19">
    <pivotField numFmtId="1" showAll="0"/>
    <pivotField showAll="0"/>
    <pivotField showAll="0"/>
    <pivotField showAll="0"/>
    <pivotField showAll="0"/>
    <pivotField showAll="0"/>
    <pivotField showAll="0"/>
    <pivotField showAll="0"/>
    <pivotField showAll="0"/>
    <pivotField numFmtId="1" showAll="0"/>
    <pivotField numFmtId="1" showAll="0"/>
    <pivotField axis="axisRow" showAll="0" sortType="descending" defaultSubtotal="0">
      <items count="9">
        <item x="1"/>
        <item x="8"/>
        <item x="7"/>
        <item x="6"/>
        <item x="5"/>
        <item x="4"/>
        <item x="0"/>
        <item x="2"/>
        <item x="3"/>
      </items>
      <autoSortScope>
        <pivotArea dataOnly="0" outline="0" fieldPosition="0">
          <references count="1">
            <reference field="4294967294" count="1" selected="0">
              <x v="0"/>
            </reference>
          </references>
        </pivotArea>
      </autoSortScope>
    </pivotField>
    <pivotField numFmtId="1" showAll="0"/>
    <pivotField showAll="0" defaultSubtotal="0"/>
    <pivotField numFmtId="166" showAll="0"/>
    <pivotField showAll="0" defaultSubtotal="0"/>
    <pivotField dataField="1" numFmtId="1" showAll="0"/>
    <pivotField dataField="1" numFmtId="1" showAll="0"/>
    <pivotField dataField="1" numFmtId="1" showAll="0"/>
  </pivotFields>
  <rowFields count="1">
    <field x="11"/>
  </rowFields>
  <rowItems count="10">
    <i>
      <x v="3"/>
    </i>
    <i>
      <x v="4"/>
    </i>
    <i>
      <x v="2"/>
    </i>
    <i>
      <x v="5"/>
    </i>
    <i>
      <x v="1"/>
    </i>
    <i>
      <x v="6"/>
    </i>
    <i>
      <x v="7"/>
    </i>
    <i>
      <x/>
    </i>
    <i>
      <x v="8"/>
    </i>
    <i t="grand">
      <x/>
    </i>
  </rowItems>
  <colFields count="1">
    <field x="-2"/>
  </colFields>
  <colItems count="3">
    <i>
      <x/>
    </i>
    <i i="1">
      <x v="1"/>
    </i>
    <i i="2">
      <x v="2"/>
    </i>
  </colItems>
  <dataFields count="3">
    <dataField name="Средно от cnt" fld="18" subtotal="average" baseField="8" baseItem="0" numFmtId="1"/>
    <dataField name="Средно от registered" fld="17" subtotal="average" baseField="8" baseItem="1"/>
    <dataField name="Средно от casual" fld="16" subtotal="average" baseField="8" baseItem="1"/>
  </dataFields>
  <formats count="3">
    <format dxfId="11">
      <pivotArea outline="0" collapsedLevelsAreSubtotals="1" fieldPosition="0"/>
    </format>
    <format dxfId="12">
      <pivotArea outline="0" collapsedLevelsAreSubtotals="1" fieldPosition="0"/>
    </format>
    <format dxfId="13">
      <pivotArea outline="0" collapsedLevelsAreSubtotals="1" fieldPosition="0"/>
    </format>
  </formats>
  <chartFormats count="3">
    <chartFormat chart="2" format="15"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1"/>
          </reference>
        </references>
      </pivotArea>
    </chartFormat>
    <chartFormat chart="2"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Обобщена таблица7"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A33:D37" firstHeaderRow="0" firstDataRow="1" firstDataCol="1"/>
  <pivotFields count="19">
    <pivotField numFmtId="1" showAll="0"/>
    <pivotField showAll="0"/>
    <pivotField showAll="0"/>
    <pivotField showAll="0"/>
    <pivotField showAll="0"/>
    <pivotField showAll="0"/>
    <pivotField showAll="0"/>
    <pivotField showAll="0"/>
    <pivotField axis="axisRow" showAll="0">
      <items count="4">
        <item x="2"/>
        <item x="0"/>
        <item x="1"/>
        <item t="default"/>
      </items>
    </pivotField>
    <pivotField numFmtId="1" showAll="0"/>
    <pivotField numFmtId="1" showAll="0"/>
    <pivotField showAll="0" defaultSubtotal="0"/>
    <pivotField numFmtId="1" showAll="0"/>
    <pivotField showAll="0" defaultSubtotal="0"/>
    <pivotField numFmtId="166" showAll="0"/>
    <pivotField showAll="0" defaultSubtotal="0"/>
    <pivotField dataField="1" numFmtId="1" showAll="0"/>
    <pivotField dataField="1" numFmtId="1" showAll="0"/>
    <pivotField dataField="1" numFmtId="1" showAll="0"/>
  </pivotFields>
  <rowFields count="1">
    <field x="8"/>
  </rowFields>
  <rowItems count="4">
    <i>
      <x/>
    </i>
    <i>
      <x v="1"/>
    </i>
    <i>
      <x v="2"/>
    </i>
    <i t="grand">
      <x/>
    </i>
  </rowItems>
  <colFields count="1">
    <field x="-2"/>
  </colFields>
  <colItems count="3">
    <i>
      <x/>
    </i>
    <i i="1">
      <x v="1"/>
    </i>
    <i i="2">
      <x v="2"/>
    </i>
  </colItems>
  <dataFields count="3">
    <dataField name="Средно от cnt" fld="18" subtotal="average" baseField="8" baseItem="0" numFmtId="1"/>
    <dataField name="Средно от registered" fld="17" subtotal="average" baseField="8" baseItem="1"/>
    <dataField name="Средно от casual" fld="16" subtotal="average" baseField="8" baseItem="1"/>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Обобщена таблица6"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A27:D30" firstHeaderRow="0" firstDataRow="1" firstDataCol="1"/>
  <pivotFields count="19">
    <pivotField numFmtId="1" showAll="0"/>
    <pivotField showAll="0"/>
    <pivotField showAll="0"/>
    <pivotField showAll="0"/>
    <pivotField showAll="0"/>
    <pivotField axis="axisRow" showAll="0">
      <items count="3">
        <item x="0"/>
        <item x="1"/>
        <item t="default"/>
      </items>
    </pivotField>
    <pivotField showAll="0"/>
    <pivotField showAll="0"/>
    <pivotField showAll="0"/>
    <pivotField numFmtId="1" showAll="0"/>
    <pivotField numFmtId="1" showAll="0"/>
    <pivotField showAll="0" defaultSubtotal="0"/>
    <pivotField numFmtId="1" showAll="0"/>
    <pivotField showAll="0" defaultSubtotal="0"/>
    <pivotField numFmtId="166" showAll="0"/>
    <pivotField showAll="0" defaultSubtotal="0"/>
    <pivotField dataField="1" numFmtId="1" showAll="0"/>
    <pivotField dataField="1" numFmtId="1" showAll="0"/>
    <pivotField dataField="1" numFmtId="1" showAll="0"/>
  </pivotFields>
  <rowFields count="1">
    <field x="5"/>
  </rowFields>
  <rowItems count="3">
    <i>
      <x/>
    </i>
    <i>
      <x v="1"/>
    </i>
    <i t="grand">
      <x/>
    </i>
  </rowItems>
  <colFields count="1">
    <field x="-2"/>
  </colFields>
  <colItems count="3">
    <i>
      <x/>
    </i>
    <i i="1">
      <x v="1"/>
    </i>
    <i i="2">
      <x v="2"/>
    </i>
  </colItems>
  <dataFields count="3">
    <dataField name="Средно от cnt" fld="18" subtotal="average" baseField="5" baseItem="0" numFmtId="1"/>
    <dataField name="Средно от registered" fld="17" subtotal="average" baseField="5" baseItem="1"/>
    <dataField name="Средно от casual" fld="16" subtotal="average" baseField="5" baseItem="1"/>
  </dataFields>
  <formats count="5">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Обобщена таблица5"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I17:L20" firstHeaderRow="0" firstDataRow="1" firstDataCol="1"/>
  <pivotFields count="19">
    <pivotField numFmtI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 numFmtId="1" showAll="0"/>
    <pivotField numFmtId="1" showAll="0"/>
    <pivotField showAll="0" defaultSubtotal="0"/>
    <pivotField numFmtId="1" showAll="0"/>
    <pivotField showAll="0" defaultSubtotal="0"/>
    <pivotField numFmtId="166" showAll="0"/>
    <pivotField showAll="0" defaultSubtotal="0"/>
    <pivotField dataField="1" numFmtId="1" showAll="0"/>
    <pivotField dataField="1" numFmtId="1" showAll="0"/>
    <pivotField dataField="1" numFmtId="1" showAll="0"/>
  </pivotFields>
  <rowFields count="1">
    <field x="7"/>
  </rowFields>
  <rowItems count="3">
    <i>
      <x/>
    </i>
    <i>
      <x v="1"/>
    </i>
    <i t="grand">
      <x/>
    </i>
  </rowItems>
  <colFields count="1">
    <field x="-2"/>
  </colFields>
  <colItems count="3">
    <i>
      <x/>
    </i>
    <i i="1">
      <x v="1"/>
    </i>
    <i i="2">
      <x v="2"/>
    </i>
  </colItems>
  <dataFields count="3">
    <dataField name="Средно от cnt" fld="18" subtotal="average" baseField="4" baseItem="7" numFmtId="1"/>
    <dataField name="Средно от casual" fld="16" subtotal="average" baseField="7" baseItem="0"/>
    <dataField name="Средно от registered" fld="17" subtotal="average" baseField="7" baseItem="0"/>
  </dataFields>
  <formats count="5">
    <format dxfId="24">
      <pivotArea outline="0" collapsedLevelsAreSubtotals="1" fieldPosition="0"/>
    </format>
    <format dxfId="25">
      <pivotArea outline="0" collapsedLevelsAreSubtotals="1" fieldPosition="0"/>
    </format>
    <format dxfId="26">
      <pivotArea outline="0" collapsedLevelsAreSubtotals="1" fieldPosition="0"/>
    </format>
    <format dxfId="27">
      <pivotArea outline="0" collapsedLevelsAreSubtotals="1" fieldPosition="0"/>
    </format>
    <format dxfId="28">
      <pivotArea outline="0" collapsedLevelsAreSubtotals="1" fieldPosition="0"/>
    </format>
  </format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Обобщена таблица4"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location ref="I12:J15" firstHeaderRow="1" firstDataRow="1" firstDataCol="1"/>
  <pivotFields count="19">
    <pivotField numFmtI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 numFmtId="1" showAll="0"/>
    <pivotField numFmtId="1" showAll="0"/>
    <pivotField showAll="0" defaultSubtotal="0"/>
    <pivotField numFmtId="1" showAll="0"/>
    <pivotField showAll="0" defaultSubtotal="0"/>
    <pivotField numFmtId="166" showAll="0"/>
    <pivotField showAll="0" defaultSubtotal="0"/>
    <pivotField numFmtId="1" showAll="0"/>
    <pivotField numFmtId="1" showAll="0"/>
    <pivotField dataField="1" numFmtId="1" showAll="0"/>
  </pivotFields>
  <rowFields count="1">
    <field x="7"/>
  </rowFields>
  <rowItems count="3">
    <i>
      <x/>
    </i>
    <i>
      <x v="1"/>
    </i>
    <i t="grand">
      <x/>
    </i>
  </rowItems>
  <colItems count="1">
    <i/>
  </colItems>
  <dataFields count="1">
    <dataField name="Средно от cnt" fld="18" subtotal="average" baseField="4" baseItem="7" numFmtId="1"/>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Обобщена таблица3"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4">
  <location ref="I2:L10" firstHeaderRow="0" firstDataRow="1" firstDataCol="1"/>
  <pivotFields count="19">
    <pivotField numFmtI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defaultSubtotal="0"/>
    <pivotField numFmtId="1" showAll="0"/>
    <pivotField showAll="0" defaultSubtotal="0"/>
    <pivotField numFmtId="166" showAll="0"/>
    <pivotField showAll="0" defaultSubtotal="0"/>
    <pivotField dataField="1" numFmtId="1" showAll="0"/>
    <pivotField dataField="1" numFmtId="1" showAll="0"/>
    <pivotField dataField="1" numFmtId="1" showAll="0"/>
  </pivotFields>
  <rowFields count="1">
    <field x="6"/>
  </rowFields>
  <rowItems count="8">
    <i>
      <x v="5"/>
    </i>
    <i>
      <x v="4"/>
    </i>
    <i>
      <x v="3"/>
    </i>
    <i>
      <x v="6"/>
    </i>
    <i>
      <x v="2"/>
    </i>
    <i>
      <x v="1"/>
    </i>
    <i>
      <x/>
    </i>
    <i t="grand">
      <x/>
    </i>
  </rowItems>
  <colFields count="1">
    <field x="-2"/>
  </colFields>
  <colItems count="3">
    <i>
      <x/>
    </i>
    <i i="1">
      <x v="1"/>
    </i>
    <i i="2">
      <x v="2"/>
    </i>
  </colItems>
  <dataFields count="3">
    <dataField name="Средно от cnt" fld="18" subtotal="average" baseField="4" baseItem="7" numFmtId="1"/>
    <dataField name="Средно от registered" fld="17" subtotal="average" baseField="6" baseItem="5"/>
    <dataField name="Средно от casual" fld="16" subtotal="average" baseField="6" baseItem="5"/>
  </dataFields>
  <formats count="5">
    <format dxfId="34">
      <pivotArea outline="0" collapsedLevelsAreSubtotals="1" fieldPosition="0"/>
    </format>
    <format dxfId="35">
      <pivotArea outline="0" collapsedLevelsAreSubtotals="1" fieldPosition="0"/>
    </format>
    <format dxfId="36">
      <pivotArea outline="0" collapsedLevelsAreSubtotals="1" fieldPosition="0"/>
    </format>
    <format dxfId="37">
      <pivotArea outline="0" collapsedLevelsAreSubtotals="1" fieldPosition="0"/>
    </format>
    <format dxfId="38">
      <pivotArea outline="0" collapsedLevelsAreSubtotals="1" fieldPosition="0"/>
    </format>
  </format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Обобщена таблица2"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A16:B21" firstHeaderRow="1" firstDataRow="1" firstDataCol="1"/>
  <pivotFields count="19">
    <pivotField numFmtId="1"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defaultSubtotal="0"/>
    <pivotField numFmtId="1" showAll="0"/>
    <pivotField showAll="0" defaultSubtotal="0"/>
    <pivotField numFmtId="166" showAll="0"/>
    <pivotField showAll="0" defaultSubtotal="0"/>
    <pivotField numFmtId="1" showAll="0"/>
    <pivotField numFmtId="1" showAll="0"/>
    <pivotField dataField="1" numFmtId="1" showAll="0"/>
  </pivotFields>
  <rowFields count="1">
    <field x="2"/>
  </rowFields>
  <rowItems count="5">
    <i>
      <x v="2"/>
    </i>
    <i>
      <x v="1"/>
    </i>
    <i>
      <x/>
    </i>
    <i>
      <x v="3"/>
    </i>
    <i t="grand">
      <x/>
    </i>
  </rowItems>
  <colItems count="1">
    <i/>
  </colItems>
  <dataFields count="1">
    <dataField name="Средно от cnt" fld="18" subtotal="average" baseField="4" baseItem="7" numFmtId="1"/>
  </dataFields>
  <formats count="5">
    <format dxfId="39">
      <pivotArea outline="0" collapsedLevelsAreSubtotals="1" fieldPosition="0"/>
    </format>
    <format dxfId="40">
      <pivotArea outline="0" collapsedLevelsAreSubtotals="1" fieldPosition="0"/>
    </format>
    <format dxfId="41">
      <pivotArea outline="0" collapsedLevelsAreSubtotals="1" fieldPosition="0"/>
    </format>
    <format dxfId="42">
      <pivotArea outline="0" collapsedLevelsAreSubtotals="1" fieldPosition="0"/>
    </format>
    <format dxfId="43">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Обобщена таблица1" cacheId="53"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3">
  <location ref="A1:B14" firstHeaderRow="1" firstDataRow="1" firstDataCol="1"/>
  <pivotFields count="19">
    <pivotField numFmtId="1" showAll="0"/>
    <pivotField showAll="0"/>
    <pivotField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defaultSubtotal="0"/>
    <pivotField numFmtId="1" showAll="0"/>
    <pivotField showAll="0" defaultSubtotal="0"/>
    <pivotField numFmtId="166" showAll="0"/>
    <pivotField showAll="0" defaultSubtotal="0"/>
    <pivotField numFmtId="1" showAll="0"/>
    <pivotField numFmtId="1" showAll="0"/>
    <pivotField dataField="1" numFmtId="1" showAll="0"/>
  </pivotFields>
  <rowFields count="1">
    <field x="4"/>
  </rowFields>
  <rowItems count="13">
    <i>
      <x v="5"/>
    </i>
    <i>
      <x v="8"/>
    </i>
    <i>
      <x v="7"/>
    </i>
    <i>
      <x v="6"/>
    </i>
    <i>
      <x v="4"/>
    </i>
    <i>
      <x v="9"/>
    </i>
    <i>
      <x v="3"/>
    </i>
    <i>
      <x v="10"/>
    </i>
    <i>
      <x v="2"/>
    </i>
    <i>
      <x v="11"/>
    </i>
    <i>
      <x v="1"/>
    </i>
    <i>
      <x/>
    </i>
    <i t="grand">
      <x/>
    </i>
  </rowItems>
  <colItems count="1">
    <i/>
  </colItems>
  <dataFields count="1">
    <dataField name="Средно от cnt" fld="18" subtotal="average" baseField="4" baseItem="7" numFmtId="1"/>
  </dataFields>
  <formats count="5">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Таблица1" displayName="Таблица1" ref="A1:S731" totalsRowShown="0">
  <autoFilter ref="A1:S731"/>
  <tableColumns count="19">
    <tableColumn id="1" name="ID" dataDxfId="53"/>
    <tableColumn id="2" name="date" dataDxfId="52"/>
    <tableColumn id="3" name="season"/>
    <tableColumn id="4" name="year"/>
    <tableColumn id="5" name="month"/>
    <tableColumn id="6" name="holiday"/>
    <tableColumn id="7" name="weekday"/>
    <tableColumn id="8" name="workingday"/>
    <tableColumn id="9" name="weather "/>
    <tableColumn id="10" name="temperature" dataDxfId="51"/>
    <tableColumn id="11" name="feel_like_temp" dataDxfId="10"/>
    <tableColumn id="18" name="feel_like_groups" dataDxfId="8">
      <calculatedColumnFormula>FLOOR(K2,5)&amp;"–"&amp;FLOOR(K2,5)+5&amp;"°C"</calculatedColumnFormula>
    </tableColumn>
    <tableColumn id="12" name="humidity" dataDxfId="9" dataCellStyle="Процент"/>
    <tableColumn id="20" name="humidity_grouped" dataDxfId="7" dataCellStyle="Процент">
      <calculatedColumnFormula>FLOOR(M2,20)&amp;"–"&amp;FLOOR(M2,20)+20&amp;"%"</calculatedColumnFormula>
    </tableColumn>
    <tableColumn id="13" name="windspeed" dataDxfId="22"/>
    <tableColumn id="21" name="windspeed_grouped" dataDxfId="6">
      <calculatedColumnFormula>FLOOR(O2,5)&amp;"–"&amp;FLOOR(O2,5)+5&amp;" km/h"</calculatedColumnFormula>
    </tableColumn>
    <tableColumn id="14" name="casual" dataDxfId="23"/>
    <tableColumn id="15" name="registered" dataDxfId="49"/>
    <tableColumn id="16" name="cnt" dataDxfId="50"/>
  </tableColumns>
  <tableStyleInfo name="TableStyleMedium2" showFirstColumn="0" showLastColumn="0" showRowStripes="1" showColumnStripes="0"/>
</table>
</file>

<file path=xl/theme/theme1.xml><?xml version="1.0" encoding="utf-8"?>
<a:theme xmlns:a="http://schemas.openxmlformats.org/drawingml/2006/main" name="Тема на Office">
  <a:themeElements>
    <a:clrScheme name="О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О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1"/>
  <sheetViews>
    <sheetView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s="1">
        <v>43101</v>
      </c>
      <c r="C2">
        <v>1</v>
      </c>
      <c r="D2">
        <v>0</v>
      </c>
      <c r="E2">
        <v>1</v>
      </c>
      <c r="F2">
        <v>0</v>
      </c>
      <c r="G2">
        <v>6</v>
      </c>
      <c r="H2">
        <v>0</v>
      </c>
      <c r="I2">
        <v>2</v>
      </c>
      <c r="J2">
        <v>14.110847</v>
      </c>
      <c r="K2">
        <v>18.181249999999999</v>
      </c>
      <c r="L2">
        <v>80.583299999999994</v>
      </c>
      <c r="M2">
        <v>10.749881999999999</v>
      </c>
      <c r="N2">
        <v>331</v>
      </c>
      <c r="O2">
        <v>654</v>
      </c>
      <c r="P2">
        <v>985</v>
      </c>
    </row>
    <row r="3" spans="1:16" x14ac:dyDescent="0.3">
      <c r="A3">
        <v>2</v>
      </c>
      <c r="B3" s="1">
        <v>43132</v>
      </c>
      <c r="C3">
        <v>1</v>
      </c>
      <c r="D3">
        <v>0</v>
      </c>
      <c r="E3">
        <v>1</v>
      </c>
      <c r="F3">
        <v>0</v>
      </c>
      <c r="G3">
        <v>0</v>
      </c>
      <c r="H3">
        <v>0</v>
      </c>
      <c r="I3">
        <v>2</v>
      </c>
      <c r="J3">
        <v>14.902597999999999</v>
      </c>
      <c r="K3">
        <v>17.68695</v>
      </c>
      <c r="L3">
        <v>69.608699999999999</v>
      </c>
      <c r="M3">
        <v>16.652113</v>
      </c>
      <c r="N3">
        <v>131</v>
      </c>
      <c r="O3">
        <v>670</v>
      </c>
      <c r="P3">
        <v>801</v>
      </c>
    </row>
    <row r="4" spans="1:16" x14ac:dyDescent="0.3">
      <c r="A4">
        <v>3</v>
      </c>
      <c r="B4" s="1">
        <v>43160</v>
      </c>
      <c r="C4">
        <v>1</v>
      </c>
      <c r="D4">
        <v>0</v>
      </c>
      <c r="E4">
        <v>1</v>
      </c>
      <c r="F4">
        <v>0</v>
      </c>
      <c r="G4">
        <v>1</v>
      </c>
      <c r="H4">
        <v>1</v>
      </c>
      <c r="I4">
        <v>1</v>
      </c>
      <c r="J4">
        <v>8.0509240000000002</v>
      </c>
      <c r="K4">
        <v>9.4702500000000001</v>
      </c>
      <c r="L4">
        <v>43.7273</v>
      </c>
      <c r="M4">
        <v>16.636703000000001</v>
      </c>
      <c r="N4">
        <v>120</v>
      </c>
      <c r="O4">
        <v>1229</v>
      </c>
      <c r="P4">
        <v>1349</v>
      </c>
    </row>
    <row r="5" spans="1:16" x14ac:dyDescent="0.3">
      <c r="A5">
        <v>4</v>
      </c>
      <c r="B5" s="1">
        <v>43191</v>
      </c>
      <c r="C5">
        <v>1</v>
      </c>
      <c r="D5">
        <v>0</v>
      </c>
      <c r="E5">
        <v>1</v>
      </c>
      <c r="F5">
        <v>0</v>
      </c>
      <c r="G5">
        <v>2</v>
      </c>
      <c r="H5">
        <v>1</v>
      </c>
      <c r="I5">
        <v>1</v>
      </c>
      <c r="J5">
        <v>8.1999999999999993</v>
      </c>
      <c r="K5">
        <v>10.6061</v>
      </c>
      <c r="L5">
        <v>59.043500000000002</v>
      </c>
      <c r="M5">
        <v>10.739832</v>
      </c>
      <c r="N5">
        <v>108</v>
      </c>
      <c r="O5">
        <v>1454</v>
      </c>
      <c r="P5">
        <v>1562</v>
      </c>
    </row>
    <row r="6" spans="1:16" x14ac:dyDescent="0.3">
      <c r="A6">
        <v>5</v>
      </c>
      <c r="B6" s="1">
        <v>43221</v>
      </c>
      <c r="C6">
        <v>1</v>
      </c>
      <c r="D6">
        <v>0</v>
      </c>
      <c r="E6">
        <v>1</v>
      </c>
      <c r="F6">
        <v>0</v>
      </c>
      <c r="G6">
        <v>3</v>
      </c>
      <c r="H6">
        <v>1</v>
      </c>
      <c r="I6">
        <v>1</v>
      </c>
      <c r="J6">
        <v>9.305237</v>
      </c>
      <c r="K6">
        <v>11.4635</v>
      </c>
      <c r="L6">
        <v>43.695700000000002</v>
      </c>
      <c r="M6">
        <v>12.5223</v>
      </c>
      <c r="N6">
        <v>82</v>
      </c>
      <c r="O6">
        <v>1518</v>
      </c>
      <c r="P6">
        <v>1600</v>
      </c>
    </row>
    <row r="7" spans="1:16" x14ac:dyDescent="0.3">
      <c r="A7">
        <v>6</v>
      </c>
      <c r="B7" s="1">
        <v>43252</v>
      </c>
      <c r="C7">
        <v>1</v>
      </c>
      <c r="D7">
        <v>0</v>
      </c>
      <c r="E7">
        <v>1</v>
      </c>
      <c r="F7">
        <v>0</v>
      </c>
      <c r="G7">
        <v>4</v>
      </c>
      <c r="H7">
        <v>1</v>
      </c>
      <c r="I7">
        <v>1</v>
      </c>
      <c r="J7">
        <v>8.3782680000000003</v>
      </c>
      <c r="K7">
        <v>11.660450000000001</v>
      </c>
      <c r="L7">
        <v>51.826099999999997</v>
      </c>
      <c r="M7">
        <v>6.0008683999999999</v>
      </c>
      <c r="N7">
        <v>88</v>
      </c>
      <c r="O7">
        <v>1518</v>
      </c>
      <c r="P7">
        <v>1606</v>
      </c>
    </row>
    <row r="8" spans="1:16" x14ac:dyDescent="0.3">
      <c r="A8">
        <v>7</v>
      </c>
      <c r="B8" s="1">
        <v>43282</v>
      </c>
      <c r="C8">
        <v>1</v>
      </c>
      <c r="D8">
        <v>0</v>
      </c>
      <c r="E8">
        <v>1</v>
      </c>
      <c r="F8">
        <v>0</v>
      </c>
      <c r="G8">
        <v>5</v>
      </c>
      <c r="H8">
        <v>1</v>
      </c>
      <c r="I8">
        <v>2</v>
      </c>
      <c r="J8">
        <v>8.0574019999999997</v>
      </c>
      <c r="K8">
        <v>10.44195</v>
      </c>
      <c r="L8">
        <v>49.869599999999998</v>
      </c>
      <c r="M8">
        <v>11.304641999999999</v>
      </c>
      <c r="N8">
        <v>148</v>
      </c>
      <c r="O8">
        <v>1362</v>
      </c>
      <c r="P8">
        <v>1510</v>
      </c>
    </row>
    <row r="9" spans="1:16" x14ac:dyDescent="0.3">
      <c r="A9">
        <v>8</v>
      </c>
      <c r="B9" s="1">
        <v>43313</v>
      </c>
      <c r="C9">
        <v>1</v>
      </c>
      <c r="D9">
        <v>0</v>
      </c>
      <c r="E9">
        <v>1</v>
      </c>
      <c r="F9">
        <v>0</v>
      </c>
      <c r="G9">
        <v>6</v>
      </c>
      <c r="H9">
        <v>0</v>
      </c>
      <c r="I9">
        <v>2</v>
      </c>
      <c r="J9">
        <v>6.7649999999999997</v>
      </c>
      <c r="K9">
        <v>8.1127000000000002</v>
      </c>
      <c r="L9">
        <v>53.583300000000001</v>
      </c>
      <c r="M9">
        <v>17.875868000000001</v>
      </c>
      <c r="N9">
        <v>68</v>
      </c>
      <c r="O9">
        <v>891</v>
      </c>
      <c r="P9">
        <v>959</v>
      </c>
    </row>
    <row r="10" spans="1:16" x14ac:dyDescent="0.3">
      <c r="A10">
        <v>9</v>
      </c>
      <c r="B10" s="1">
        <v>43344</v>
      </c>
      <c r="C10">
        <v>1</v>
      </c>
      <c r="D10">
        <v>0</v>
      </c>
      <c r="E10">
        <v>1</v>
      </c>
      <c r="F10">
        <v>0</v>
      </c>
      <c r="G10">
        <v>0</v>
      </c>
      <c r="H10">
        <v>0</v>
      </c>
      <c r="I10">
        <v>1</v>
      </c>
      <c r="J10">
        <v>5.6716530000000001</v>
      </c>
      <c r="K10">
        <v>5.8087499999999999</v>
      </c>
      <c r="L10">
        <v>43.416699999999999</v>
      </c>
      <c r="M10">
        <v>24.25065</v>
      </c>
      <c r="N10">
        <v>54</v>
      </c>
      <c r="O10">
        <v>768</v>
      </c>
      <c r="P10">
        <v>822</v>
      </c>
    </row>
    <row r="11" spans="1:16" x14ac:dyDescent="0.3">
      <c r="A11">
        <v>10</v>
      </c>
      <c r="B11" s="1">
        <v>43374</v>
      </c>
      <c r="C11">
        <v>1</v>
      </c>
      <c r="D11">
        <v>0</v>
      </c>
      <c r="E11">
        <v>1</v>
      </c>
      <c r="F11">
        <v>0</v>
      </c>
      <c r="G11">
        <v>1</v>
      </c>
      <c r="H11">
        <v>1</v>
      </c>
      <c r="I11">
        <v>1</v>
      </c>
      <c r="J11">
        <v>6.1841530000000002</v>
      </c>
      <c r="K11">
        <v>7.5444000000000004</v>
      </c>
      <c r="L11">
        <v>48.291699999999999</v>
      </c>
      <c r="M11">
        <v>14.958888999999999</v>
      </c>
      <c r="N11">
        <v>41</v>
      </c>
      <c r="O11">
        <v>1280</v>
      </c>
      <c r="P11">
        <v>1321</v>
      </c>
    </row>
    <row r="12" spans="1:16" x14ac:dyDescent="0.3">
      <c r="A12">
        <v>11</v>
      </c>
      <c r="B12" s="1">
        <v>43405</v>
      </c>
      <c r="C12">
        <v>1</v>
      </c>
      <c r="D12">
        <v>0</v>
      </c>
      <c r="E12">
        <v>1</v>
      </c>
      <c r="F12">
        <v>0</v>
      </c>
      <c r="G12">
        <v>2</v>
      </c>
      <c r="H12">
        <v>1</v>
      </c>
      <c r="I12">
        <v>2</v>
      </c>
      <c r="J12">
        <v>6.9327310000000004</v>
      </c>
      <c r="K12">
        <v>9.5731999999999999</v>
      </c>
      <c r="L12">
        <v>68.636399999999995</v>
      </c>
      <c r="M12">
        <v>8.1828439999999993</v>
      </c>
      <c r="N12">
        <v>43</v>
      </c>
      <c r="O12">
        <v>1220</v>
      </c>
      <c r="P12">
        <v>1263</v>
      </c>
    </row>
    <row r="13" spans="1:16" x14ac:dyDescent="0.3">
      <c r="A13">
        <v>12</v>
      </c>
      <c r="B13" s="1">
        <v>43435</v>
      </c>
      <c r="C13">
        <v>1</v>
      </c>
      <c r="D13">
        <v>0</v>
      </c>
      <c r="E13">
        <v>1</v>
      </c>
      <c r="F13">
        <v>0</v>
      </c>
      <c r="G13">
        <v>3</v>
      </c>
      <c r="H13">
        <v>1</v>
      </c>
      <c r="I13">
        <v>1</v>
      </c>
      <c r="J13">
        <v>7.0818070000000004</v>
      </c>
      <c r="K13">
        <v>8.0236499999999999</v>
      </c>
      <c r="L13">
        <v>59.954500000000003</v>
      </c>
      <c r="M13">
        <v>20.410008999999999</v>
      </c>
      <c r="N13">
        <v>25</v>
      </c>
      <c r="O13">
        <v>1137</v>
      </c>
      <c r="P13">
        <v>1162</v>
      </c>
    </row>
    <row r="14" spans="1:16" x14ac:dyDescent="0.3">
      <c r="A14">
        <v>13</v>
      </c>
      <c r="B14" t="s">
        <v>16</v>
      </c>
      <c r="C14">
        <v>1</v>
      </c>
      <c r="D14">
        <v>0</v>
      </c>
      <c r="E14">
        <v>1</v>
      </c>
      <c r="F14">
        <v>0</v>
      </c>
      <c r="G14">
        <v>4</v>
      </c>
      <c r="H14">
        <v>1</v>
      </c>
      <c r="I14">
        <v>1</v>
      </c>
      <c r="J14">
        <v>6.7649999999999997</v>
      </c>
      <c r="K14">
        <v>7.5441500000000001</v>
      </c>
      <c r="L14">
        <v>47.041699999999999</v>
      </c>
      <c r="M14">
        <v>20.167000000000002</v>
      </c>
      <c r="N14">
        <v>38</v>
      </c>
      <c r="O14">
        <v>1368</v>
      </c>
      <c r="P14">
        <v>1406</v>
      </c>
    </row>
    <row r="15" spans="1:16" x14ac:dyDescent="0.3">
      <c r="A15">
        <v>14</v>
      </c>
      <c r="B15" t="s">
        <v>17</v>
      </c>
      <c r="C15">
        <v>1</v>
      </c>
      <c r="D15">
        <v>0</v>
      </c>
      <c r="E15">
        <v>1</v>
      </c>
      <c r="F15">
        <v>0</v>
      </c>
      <c r="G15">
        <v>5</v>
      </c>
      <c r="H15">
        <v>1</v>
      </c>
      <c r="I15">
        <v>1</v>
      </c>
      <c r="J15">
        <v>6.5956700000000001</v>
      </c>
      <c r="K15">
        <v>9.4206500000000002</v>
      </c>
      <c r="L15">
        <v>53.782600000000002</v>
      </c>
      <c r="M15">
        <v>8.4787160000000004</v>
      </c>
      <c r="N15">
        <v>54</v>
      </c>
      <c r="O15">
        <v>1367</v>
      </c>
      <c r="P15">
        <v>1421</v>
      </c>
    </row>
    <row r="16" spans="1:16" x14ac:dyDescent="0.3">
      <c r="A16">
        <v>15</v>
      </c>
      <c r="B16" t="s">
        <v>18</v>
      </c>
      <c r="C16">
        <v>1</v>
      </c>
      <c r="D16">
        <v>0</v>
      </c>
      <c r="E16">
        <v>1</v>
      </c>
      <c r="F16">
        <v>0</v>
      </c>
      <c r="G16">
        <v>6</v>
      </c>
      <c r="H16">
        <v>0</v>
      </c>
      <c r="I16">
        <v>2</v>
      </c>
      <c r="J16">
        <v>9.5666530000000005</v>
      </c>
      <c r="K16">
        <v>12.4056</v>
      </c>
      <c r="L16">
        <v>49.875</v>
      </c>
      <c r="M16">
        <v>10.583520999999999</v>
      </c>
      <c r="N16">
        <v>222</v>
      </c>
      <c r="O16">
        <v>1026</v>
      </c>
      <c r="P16">
        <v>1248</v>
      </c>
    </row>
    <row r="17" spans="1:16" x14ac:dyDescent="0.3">
      <c r="A17">
        <v>16</v>
      </c>
      <c r="B17" t="s">
        <v>19</v>
      </c>
      <c r="C17">
        <v>1</v>
      </c>
      <c r="D17">
        <v>0</v>
      </c>
      <c r="E17">
        <v>1</v>
      </c>
      <c r="F17">
        <v>0</v>
      </c>
      <c r="G17">
        <v>0</v>
      </c>
      <c r="H17">
        <v>0</v>
      </c>
      <c r="I17">
        <v>1</v>
      </c>
      <c r="J17">
        <v>9.4983470000000008</v>
      </c>
      <c r="K17">
        <v>11.710850000000001</v>
      </c>
      <c r="L17">
        <v>48.375</v>
      </c>
      <c r="M17">
        <v>12.625011000000001</v>
      </c>
      <c r="N17">
        <v>251</v>
      </c>
      <c r="O17">
        <v>953</v>
      </c>
      <c r="P17">
        <v>1204</v>
      </c>
    </row>
    <row r="18" spans="1:16" x14ac:dyDescent="0.3">
      <c r="A18">
        <v>17</v>
      </c>
      <c r="B18" t="s">
        <v>20</v>
      </c>
      <c r="C18">
        <v>1</v>
      </c>
      <c r="D18">
        <v>0</v>
      </c>
      <c r="E18">
        <v>1</v>
      </c>
      <c r="F18">
        <v>1</v>
      </c>
      <c r="G18">
        <v>1</v>
      </c>
      <c r="H18">
        <v>0</v>
      </c>
      <c r="I18">
        <v>2</v>
      </c>
      <c r="J18">
        <v>7.2091529999999997</v>
      </c>
      <c r="K18">
        <v>8.8385499999999997</v>
      </c>
      <c r="L18">
        <v>53.75</v>
      </c>
      <c r="M18">
        <v>12.999139</v>
      </c>
      <c r="N18">
        <v>117</v>
      </c>
      <c r="O18">
        <v>883</v>
      </c>
      <c r="P18">
        <v>1000</v>
      </c>
    </row>
    <row r="19" spans="1:16" x14ac:dyDescent="0.3">
      <c r="A19">
        <v>18</v>
      </c>
      <c r="B19" t="s">
        <v>21</v>
      </c>
      <c r="C19">
        <v>1</v>
      </c>
      <c r="D19">
        <v>0</v>
      </c>
      <c r="E19">
        <v>1</v>
      </c>
      <c r="F19">
        <v>0</v>
      </c>
      <c r="G19">
        <v>2</v>
      </c>
      <c r="H19">
        <v>1</v>
      </c>
      <c r="I19">
        <v>2</v>
      </c>
      <c r="J19">
        <v>8.8833470000000005</v>
      </c>
      <c r="K19">
        <v>11.61665</v>
      </c>
      <c r="L19">
        <v>86.166700000000006</v>
      </c>
      <c r="M19">
        <v>9.8339250000000007</v>
      </c>
      <c r="N19">
        <v>9</v>
      </c>
      <c r="O19">
        <v>674</v>
      </c>
      <c r="P19">
        <v>683</v>
      </c>
    </row>
    <row r="20" spans="1:16" x14ac:dyDescent="0.3">
      <c r="A20">
        <v>19</v>
      </c>
      <c r="B20" t="s">
        <v>22</v>
      </c>
      <c r="C20">
        <v>1</v>
      </c>
      <c r="D20">
        <v>0</v>
      </c>
      <c r="E20">
        <v>1</v>
      </c>
      <c r="F20">
        <v>0</v>
      </c>
      <c r="G20">
        <v>3</v>
      </c>
      <c r="H20">
        <v>1</v>
      </c>
      <c r="I20">
        <v>2</v>
      </c>
      <c r="J20">
        <v>11.979134</v>
      </c>
      <c r="K20">
        <v>14.921099999999999</v>
      </c>
      <c r="L20">
        <v>74.173900000000003</v>
      </c>
      <c r="M20">
        <v>13.957239</v>
      </c>
      <c r="N20">
        <v>78</v>
      </c>
      <c r="O20">
        <v>1572</v>
      </c>
      <c r="P20">
        <v>1650</v>
      </c>
    </row>
    <row r="21" spans="1:16" x14ac:dyDescent="0.3">
      <c r="A21">
        <v>20</v>
      </c>
      <c r="B21" t="s">
        <v>23</v>
      </c>
      <c r="C21">
        <v>1</v>
      </c>
      <c r="D21">
        <v>0</v>
      </c>
      <c r="E21">
        <v>1</v>
      </c>
      <c r="F21">
        <v>0</v>
      </c>
      <c r="G21">
        <v>4</v>
      </c>
      <c r="H21">
        <v>1</v>
      </c>
      <c r="I21">
        <v>2</v>
      </c>
      <c r="J21">
        <v>10.728346999999999</v>
      </c>
      <c r="K21">
        <v>12.7525</v>
      </c>
      <c r="L21">
        <v>53.833300000000001</v>
      </c>
      <c r="M21">
        <v>13.125567999999999</v>
      </c>
      <c r="N21">
        <v>83</v>
      </c>
      <c r="O21">
        <v>1844</v>
      </c>
      <c r="P21">
        <v>1927</v>
      </c>
    </row>
    <row r="22" spans="1:16" x14ac:dyDescent="0.3">
      <c r="A22">
        <v>21</v>
      </c>
      <c r="B22" t="s">
        <v>24</v>
      </c>
      <c r="C22">
        <v>1</v>
      </c>
      <c r="D22">
        <v>0</v>
      </c>
      <c r="E22">
        <v>1</v>
      </c>
      <c r="F22">
        <v>0</v>
      </c>
      <c r="G22">
        <v>5</v>
      </c>
      <c r="H22">
        <v>1</v>
      </c>
      <c r="I22">
        <v>1</v>
      </c>
      <c r="J22">
        <v>7.2774999999999999</v>
      </c>
      <c r="K22">
        <v>7.8916500000000003</v>
      </c>
      <c r="L22">
        <v>45.708300000000001</v>
      </c>
      <c r="M22">
        <v>23.667214000000001</v>
      </c>
      <c r="N22">
        <v>75</v>
      </c>
      <c r="O22">
        <v>1468</v>
      </c>
      <c r="P22">
        <v>1543</v>
      </c>
    </row>
    <row r="23" spans="1:16" x14ac:dyDescent="0.3">
      <c r="A23">
        <v>22</v>
      </c>
      <c r="B23" t="s">
        <v>25</v>
      </c>
      <c r="C23">
        <v>1</v>
      </c>
      <c r="D23">
        <v>0</v>
      </c>
      <c r="E23">
        <v>1</v>
      </c>
      <c r="F23">
        <v>0</v>
      </c>
      <c r="G23">
        <v>6</v>
      </c>
      <c r="H23">
        <v>0</v>
      </c>
      <c r="I23">
        <v>1</v>
      </c>
      <c r="J23">
        <v>2.4243464000000001</v>
      </c>
      <c r="K23">
        <v>3.9534799999999999</v>
      </c>
      <c r="L23">
        <v>40</v>
      </c>
      <c r="M23">
        <v>11.521990000000001</v>
      </c>
      <c r="N23">
        <v>93</v>
      </c>
      <c r="O23">
        <v>888</v>
      </c>
      <c r="P23">
        <v>981</v>
      </c>
    </row>
    <row r="24" spans="1:16" x14ac:dyDescent="0.3">
      <c r="A24">
        <v>23</v>
      </c>
      <c r="B24" t="s">
        <v>26</v>
      </c>
      <c r="C24">
        <v>1</v>
      </c>
      <c r="D24">
        <v>0</v>
      </c>
      <c r="E24">
        <v>1</v>
      </c>
      <c r="F24">
        <v>0</v>
      </c>
      <c r="G24">
        <v>0</v>
      </c>
      <c r="H24">
        <v>0</v>
      </c>
      <c r="I24">
        <v>1</v>
      </c>
      <c r="J24">
        <v>3.9573896999999998</v>
      </c>
      <c r="K24">
        <v>4.9419550000000001</v>
      </c>
      <c r="L24">
        <v>43.652200000000001</v>
      </c>
      <c r="M24">
        <v>16.522200000000002</v>
      </c>
      <c r="N24">
        <v>150</v>
      </c>
      <c r="O24">
        <v>836</v>
      </c>
      <c r="P24">
        <v>986</v>
      </c>
    </row>
    <row r="25" spans="1:16" x14ac:dyDescent="0.3">
      <c r="A25">
        <v>24</v>
      </c>
      <c r="B25" t="s">
        <v>27</v>
      </c>
      <c r="C25">
        <v>1</v>
      </c>
      <c r="D25">
        <v>0</v>
      </c>
      <c r="E25">
        <v>1</v>
      </c>
      <c r="F25">
        <v>0</v>
      </c>
      <c r="G25">
        <v>1</v>
      </c>
      <c r="H25">
        <v>1</v>
      </c>
      <c r="I25">
        <v>1</v>
      </c>
      <c r="J25">
        <v>3.9930433000000001</v>
      </c>
      <c r="K25">
        <v>5.8964999999999996</v>
      </c>
      <c r="L25">
        <v>49.173900000000003</v>
      </c>
      <c r="M25">
        <v>10.60811</v>
      </c>
      <c r="N25">
        <v>86</v>
      </c>
      <c r="O25">
        <v>1330</v>
      </c>
      <c r="P25">
        <v>1416</v>
      </c>
    </row>
    <row r="26" spans="1:16" x14ac:dyDescent="0.3">
      <c r="A26">
        <v>25</v>
      </c>
      <c r="B26" t="s">
        <v>28</v>
      </c>
      <c r="C26">
        <v>1</v>
      </c>
      <c r="D26">
        <v>0</v>
      </c>
      <c r="E26">
        <v>1</v>
      </c>
      <c r="F26">
        <v>0</v>
      </c>
      <c r="G26">
        <v>2</v>
      </c>
      <c r="H26">
        <v>1</v>
      </c>
      <c r="I26">
        <v>2</v>
      </c>
      <c r="J26">
        <v>9.1625979999999991</v>
      </c>
      <c r="K26">
        <v>11.7263</v>
      </c>
      <c r="L26">
        <v>61.695700000000002</v>
      </c>
      <c r="M26">
        <v>8.696332</v>
      </c>
      <c r="N26">
        <v>186</v>
      </c>
      <c r="O26">
        <v>1799</v>
      </c>
      <c r="P26">
        <v>1985</v>
      </c>
    </row>
    <row r="27" spans="1:16" x14ac:dyDescent="0.3">
      <c r="A27">
        <v>26</v>
      </c>
      <c r="B27" t="s">
        <v>29</v>
      </c>
      <c r="C27">
        <v>1</v>
      </c>
      <c r="D27">
        <v>0</v>
      </c>
      <c r="E27">
        <v>1</v>
      </c>
      <c r="F27">
        <v>0</v>
      </c>
      <c r="G27">
        <v>3</v>
      </c>
      <c r="H27">
        <v>1</v>
      </c>
      <c r="I27">
        <v>3</v>
      </c>
      <c r="J27">
        <v>8.9175000000000004</v>
      </c>
      <c r="K27">
        <v>10.18</v>
      </c>
      <c r="L27">
        <v>86.25</v>
      </c>
      <c r="M27">
        <v>19.687950000000001</v>
      </c>
      <c r="N27">
        <v>34</v>
      </c>
      <c r="O27">
        <v>472</v>
      </c>
      <c r="P27">
        <v>506</v>
      </c>
    </row>
    <row r="28" spans="1:16" x14ac:dyDescent="0.3">
      <c r="A28">
        <v>27</v>
      </c>
      <c r="B28" t="s">
        <v>30</v>
      </c>
      <c r="C28">
        <v>1</v>
      </c>
      <c r="D28">
        <v>0</v>
      </c>
      <c r="E28">
        <v>1</v>
      </c>
      <c r="F28">
        <v>0</v>
      </c>
      <c r="G28">
        <v>4</v>
      </c>
      <c r="H28">
        <v>1</v>
      </c>
      <c r="I28">
        <v>1</v>
      </c>
      <c r="J28">
        <v>7.9950000000000001</v>
      </c>
      <c r="K28">
        <v>10.984999999999999</v>
      </c>
      <c r="L28">
        <v>68.75</v>
      </c>
      <c r="M28">
        <v>7.6270790000000002</v>
      </c>
      <c r="N28">
        <v>15</v>
      </c>
      <c r="O28">
        <v>416</v>
      </c>
      <c r="P28">
        <v>431</v>
      </c>
    </row>
    <row r="29" spans="1:16" x14ac:dyDescent="0.3">
      <c r="A29">
        <v>28</v>
      </c>
      <c r="B29" t="s">
        <v>31</v>
      </c>
      <c r="C29">
        <v>1</v>
      </c>
      <c r="D29">
        <v>0</v>
      </c>
      <c r="E29">
        <v>1</v>
      </c>
      <c r="F29">
        <v>0</v>
      </c>
      <c r="G29">
        <v>5</v>
      </c>
      <c r="H29">
        <v>1</v>
      </c>
      <c r="I29">
        <v>2</v>
      </c>
      <c r="J29">
        <v>8.3425980000000006</v>
      </c>
      <c r="K29">
        <v>11.165850000000001</v>
      </c>
      <c r="L29">
        <v>79.304299999999998</v>
      </c>
      <c r="M29">
        <v>8.2611000000000008</v>
      </c>
      <c r="N29">
        <v>38</v>
      </c>
      <c r="O29">
        <v>1129</v>
      </c>
      <c r="P29">
        <v>1167</v>
      </c>
    </row>
    <row r="30" spans="1:16" x14ac:dyDescent="0.3">
      <c r="A30">
        <v>29</v>
      </c>
      <c r="B30" t="s">
        <v>32</v>
      </c>
      <c r="C30">
        <v>1</v>
      </c>
      <c r="D30">
        <v>0</v>
      </c>
      <c r="E30">
        <v>1</v>
      </c>
      <c r="F30">
        <v>0</v>
      </c>
      <c r="G30">
        <v>6</v>
      </c>
      <c r="H30">
        <v>0</v>
      </c>
      <c r="I30">
        <v>1</v>
      </c>
      <c r="J30">
        <v>8.0574019999999997</v>
      </c>
      <c r="K30">
        <v>10.606299999999999</v>
      </c>
      <c r="L30">
        <v>65.173900000000003</v>
      </c>
      <c r="M30">
        <v>9.7394549999999995</v>
      </c>
      <c r="N30">
        <v>123</v>
      </c>
      <c r="O30">
        <v>975</v>
      </c>
      <c r="P30">
        <v>1098</v>
      </c>
    </row>
    <row r="31" spans="1:16" x14ac:dyDescent="0.3">
      <c r="A31">
        <v>30</v>
      </c>
      <c r="B31" t="s">
        <v>33</v>
      </c>
      <c r="C31">
        <v>1</v>
      </c>
      <c r="D31">
        <v>0</v>
      </c>
      <c r="E31">
        <v>1</v>
      </c>
      <c r="F31">
        <v>0</v>
      </c>
      <c r="G31">
        <v>0</v>
      </c>
      <c r="H31">
        <v>0</v>
      </c>
      <c r="I31">
        <v>1</v>
      </c>
      <c r="J31">
        <v>8.877402</v>
      </c>
      <c r="K31">
        <v>12.5161</v>
      </c>
      <c r="L31">
        <v>72.217399999999998</v>
      </c>
      <c r="M31">
        <v>4.9568342000000003</v>
      </c>
      <c r="N31">
        <v>140</v>
      </c>
      <c r="O31">
        <v>956</v>
      </c>
      <c r="P31">
        <v>1096</v>
      </c>
    </row>
    <row r="32" spans="1:16" x14ac:dyDescent="0.3">
      <c r="A32">
        <v>31</v>
      </c>
      <c r="B32" t="s">
        <v>34</v>
      </c>
      <c r="C32">
        <v>1</v>
      </c>
      <c r="D32">
        <v>0</v>
      </c>
      <c r="E32">
        <v>1</v>
      </c>
      <c r="F32">
        <v>0</v>
      </c>
      <c r="G32">
        <v>1</v>
      </c>
      <c r="H32">
        <v>1</v>
      </c>
      <c r="I32">
        <v>2</v>
      </c>
      <c r="J32">
        <v>7.4141529999999998</v>
      </c>
      <c r="K32">
        <v>9.3125</v>
      </c>
      <c r="L32">
        <v>60.375</v>
      </c>
      <c r="M32">
        <v>12.541864</v>
      </c>
      <c r="N32">
        <v>42</v>
      </c>
      <c r="O32">
        <v>1459</v>
      </c>
      <c r="P32">
        <v>1501</v>
      </c>
    </row>
    <row r="33" spans="1:16" x14ac:dyDescent="0.3">
      <c r="A33">
        <v>32</v>
      </c>
      <c r="B33" s="1">
        <v>43102</v>
      </c>
      <c r="C33">
        <v>1</v>
      </c>
      <c r="D33">
        <v>0</v>
      </c>
      <c r="E33">
        <v>2</v>
      </c>
      <c r="F33">
        <v>0</v>
      </c>
      <c r="G33">
        <v>2</v>
      </c>
      <c r="H33">
        <v>1</v>
      </c>
      <c r="I33">
        <v>2</v>
      </c>
      <c r="J33">
        <v>7.8791339999999996</v>
      </c>
      <c r="K33">
        <v>11.7265</v>
      </c>
      <c r="L33">
        <v>82.956500000000005</v>
      </c>
      <c r="M33">
        <v>3.5652710000000001</v>
      </c>
      <c r="N33">
        <v>47</v>
      </c>
      <c r="O33">
        <v>1313</v>
      </c>
      <c r="P33">
        <v>1360</v>
      </c>
    </row>
    <row r="34" spans="1:16" x14ac:dyDescent="0.3">
      <c r="A34">
        <v>33</v>
      </c>
      <c r="B34" s="1">
        <v>43133</v>
      </c>
      <c r="C34">
        <v>1</v>
      </c>
      <c r="D34">
        <v>0</v>
      </c>
      <c r="E34">
        <v>2</v>
      </c>
      <c r="F34">
        <v>0</v>
      </c>
      <c r="G34">
        <v>3</v>
      </c>
      <c r="H34">
        <v>1</v>
      </c>
      <c r="I34">
        <v>2</v>
      </c>
      <c r="J34">
        <v>10.66</v>
      </c>
      <c r="K34">
        <v>12.72085</v>
      </c>
      <c r="L34">
        <v>77.541700000000006</v>
      </c>
      <c r="M34">
        <v>17.708635999999998</v>
      </c>
      <c r="N34">
        <v>72</v>
      </c>
      <c r="O34">
        <v>1454</v>
      </c>
      <c r="P34">
        <v>1526</v>
      </c>
    </row>
    <row r="35" spans="1:16" x14ac:dyDescent="0.3">
      <c r="A35">
        <v>34</v>
      </c>
      <c r="B35" s="1">
        <v>43161</v>
      </c>
      <c r="C35">
        <v>1</v>
      </c>
      <c r="D35">
        <v>0</v>
      </c>
      <c r="E35">
        <v>2</v>
      </c>
      <c r="F35">
        <v>0</v>
      </c>
      <c r="G35">
        <v>4</v>
      </c>
      <c r="H35">
        <v>1</v>
      </c>
      <c r="I35">
        <v>1</v>
      </c>
      <c r="J35">
        <v>7.6652370000000003</v>
      </c>
      <c r="K35">
        <v>8.8939000000000004</v>
      </c>
      <c r="L35">
        <v>43.782600000000002</v>
      </c>
      <c r="M35">
        <v>18.609383999999999</v>
      </c>
      <c r="N35">
        <v>61</v>
      </c>
      <c r="O35">
        <v>1489</v>
      </c>
      <c r="P35">
        <v>1550</v>
      </c>
    </row>
    <row r="36" spans="1:16" x14ac:dyDescent="0.3">
      <c r="A36">
        <v>35</v>
      </c>
      <c r="B36" s="1">
        <v>43192</v>
      </c>
      <c r="C36">
        <v>1</v>
      </c>
      <c r="D36">
        <v>0</v>
      </c>
      <c r="E36">
        <v>2</v>
      </c>
      <c r="F36">
        <v>0</v>
      </c>
      <c r="G36">
        <v>5</v>
      </c>
      <c r="H36">
        <v>1</v>
      </c>
      <c r="I36">
        <v>2</v>
      </c>
      <c r="J36">
        <v>8.6634639999999994</v>
      </c>
      <c r="K36">
        <v>11.429349999999999</v>
      </c>
      <c r="L36">
        <v>58.521700000000003</v>
      </c>
      <c r="M36">
        <v>8.565213</v>
      </c>
      <c r="N36">
        <v>88</v>
      </c>
      <c r="O36">
        <v>1620</v>
      </c>
      <c r="P36">
        <v>1708</v>
      </c>
    </row>
    <row r="37" spans="1:16" x14ac:dyDescent="0.3">
      <c r="A37">
        <v>36</v>
      </c>
      <c r="B37" s="1">
        <v>43222</v>
      </c>
      <c r="C37">
        <v>1</v>
      </c>
      <c r="D37">
        <v>0</v>
      </c>
      <c r="E37">
        <v>2</v>
      </c>
      <c r="F37">
        <v>0</v>
      </c>
      <c r="G37">
        <v>6</v>
      </c>
      <c r="H37">
        <v>0</v>
      </c>
      <c r="I37">
        <v>2</v>
      </c>
      <c r="J37">
        <v>9.5666530000000005</v>
      </c>
      <c r="K37">
        <v>12.152900000000001</v>
      </c>
      <c r="L37">
        <v>92.916700000000006</v>
      </c>
      <c r="M37">
        <v>10.792293000000001</v>
      </c>
      <c r="N37">
        <v>100</v>
      </c>
      <c r="O37">
        <v>905</v>
      </c>
      <c r="P37">
        <v>1005</v>
      </c>
    </row>
    <row r="38" spans="1:16" x14ac:dyDescent="0.3">
      <c r="A38">
        <v>37</v>
      </c>
      <c r="B38" s="1">
        <v>43253</v>
      </c>
      <c r="C38">
        <v>1</v>
      </c>
      <c r="D38">
        <v>0</v>
      </c>
      <c r="E38">
        <v>2</v>
      </c>
      <c r="F38">
        <v>0</v>
      </c>
      <c r="G38">
        <v>0</v>
      </c>
      <c r="H38">
        <v>0</v>
      </c>
      <c r="I38">
        <v>1</v>
      </c>
      <c r="J38">
        <v>11.719153</v>
      </c>
      <c r="K38">
        <v>14.583550000000001</v>
      </c>
      <c r="L38">
        <v>56.833300000000001</v>
      </c>
      <c r="M38">
        <v>9.5006000000000004</v>
      </c>
      <c r="N38">
        <v>354</v>
      </c>
      <c r="O38">
        <v>1269</v>
      </c>
      <c r="P38">
        <v>1623</v>
      </c>
    </row>
    <row r="39" spans="1:16" x14ac:dyDescent="0.3">
      <c r="A39">
        <v>38</v>
      </c>
      <c r="B39" s="1">
        <v>43283</v>
      </c>
      <c r="C39">
        <v>1</v>
      </c>
      <c r="D39">
        <v>0</v>
      </c>
      <c r="E39">
        <v>2</v>
      </c>
      <c r="F39">
        <v>0</v>
      </c>
      <c r="G39">
        <v>1</v>
      </c>
      <c r="H39">
        <v>1</v>
      </c>
      <c r="I39">
        <v>1</v>
      </c>
      <c r="J39">
        <v>11.138347</v>
      </c>
      <c r="K39">
        <v>15.1829</v>
      </c>
      <c r="L39">
        <v>73.833299999999994</v>
      </c>
      <c r="M39">
        <v>3.0423561000000001</v>
      </c>
      <c r="N39">
        <v>120</v>
      </c>
      <c r="O39">
        <v>1592</v>
      </c>
      <c r="P39">
        <v>1712</v>
      </c>
    </row>
    <row r="40" spans="1:16" x14ac:dyDescent="0.3">
      <c r="A40">
        <v>39</v>
      </c>
      <c r="B40" s="1">
        <v>43314</v>
      </c>
      <c r="C40">
        <v>1</v>
      </c>
      <c r="D40">
        <v>0</v>
      </c>
      <c r="E40">
        <v>2</v>
      </c>
      <c r="F40">
        <v>0</v>
      </c>
      <c r="G40">
        <v>2</v>
      </c>
      <c r="H40">
        <v>1</v>
      </c>
      <c r="I40">
        <v>1</v>
      </c>
      <c r="J40">
        <v>9.0541529999999995</v>
      </c>
      <c r="K40">
        <v>9.9123000000000001</v>
      </c>
      <c r="L40">
        <v>53.791699999999999</v>
      </c>
      <c r="M40">
        <v>24.25065</v>
      </c>
      <c r="N40">
        <v>64</v>
      </c>
      <c r="O40">
        <v>1466</v>
      </c>
      <c r="P40">
        <v>1530</v>
      </c>
    </row>
    <row r="41" spans="1:16" x14ac:dyDescent="0.3">
      <c r="A41">
        <v>40</v>
      </c>
      <c r="B41" s="1">
        <v>43345</v>
      </c>
      <c r="C41">
        <v>1</v>
      </c>
      <c r="D41">
        <v>0</v>
      </c>
      <c r="E41">
        <v>2</v>
      </c>
      <c r="F41">
        <v>0</v>
      </c>
      <c r="G41">
        <v>3</v>
      </c>
      <c r="H41">
        <v>1</v>
      </c>
      <c r="I41">
        <v>2</v>
      </c>
      <c r="J41">
        <v>5.526103</v>
      </c>
      <c r="K41">
        <v>7.2141500000000001</v>
      </c>
      <c r="L41">
        <v>49.478299999999997</v>
      </c>
      <c r="M41">
        <v>12.652213</v>
      </c>
      <c r="N41">
        <v>53</v>
      </c>
      <c r="O41">
        <v>1552</v>
      </c>
      <c r="P41">
        <v>1605</v>
      </c>
    </row>
    <row r="42" spans="1:16" x14ac:dyDescent="0.3">
      <c r="A42">
        <v>41</v>
      </c>
      <c r="B42" s="1">
        <v>43375</v>
      </c>
      <c r="C42">
        <v>1</v>
      </c>
      <c r="D42">
        <v>0</v>
      </c>
      <c r="E42">
        <v>2</v>
      </c>
      <c r="F42">
        <v>0</v>
      </c>
      <c r="G42">
        <v>4</v>
      </c>
      <c r="H42">
        <v>1</v>
      </c>
      <c r="I42">
        <v>1</v>
      </c>
      <c r="J42">
        <v>5.9182680000000003</v>
      </c>
      <c r="K42">
        <v>7.4774000000000003</v>
      </c>
      <c r="L42">
        <v>43.739100000000001</v>
      </c>
      <c r="M42">
        <v>14.869645</v>
      </c>
      <c r="N42">
        <v>47</v>
      </c>
      <c r="O42">
        <v>1491</v>
      </c>
      <c r="P42">
        <v>1538</v>
      </c>
    </row>
    <row r="43" spans="1:16" x14ac:dyDescent="0.3">
      <c r="A43">
        <v>42</v>
      </c>
      <c r="B43" s="1">
        <v>43406</v>
      </c>
      <c r="C43">
        <v>1</v>
      </c>
      <c r="D43">
        <v>0</v>
      </c>
      <c r="E43">
        <v>2</v>
      </c>
      <c r="F43">
        <v>0</v>
      </c>
      <c r="G43">
        <v>5</v>
      </c>
      <c r="H43">
        <v>1</v>
      </c>
      <c r="I43">
        <v>1</v>
      </c>
      <c r="J43">
        <v>7.7527309999999998</v>
      </c>
      <c r="K43">
        <v>10.67545</v>
      </c>
      <c r="L43">
        <v>50.636400000000002</v>
      </c>
      <c r="M43">
        <v>7.27285</v>
      </c>
      <c r="N43">
        <v>149</v>
      </c>
      <c r="O43">
        <v>1597</v>
      </c>
      <c r="P43">
        <v>1746</v>
      </c>
    </row>
    <row r="44" spans="1:16" x14ac:dyDescent="0.3">
      <c r="A44">
        <v>43</v>
      </c>
      <c r="B44" s="1">
        <v>43436</v>
      </c>
      <c r="C44">
        <v>1</v>
      </c>
      <c r="D44">
        <v>0</v>
      </c>
      <c r="E44">
        <v>2</v>
      </c>
      <c r="F44">
        <v>0</v>
      </c>
      <c r="G44">
        <v>6</v>
      </c>
      <c r="H44">
        <v>0</v>
      </c>
      <c r="I44">
        <v>1</v>
      </c>
      <c r="J44">
        <v>9.1225000000000005</v>
      </c>
      <c r="K44">
        <v>11.6477</v>
      </c>
      <c r="L44">
        <v>54.416699999999999</v>
      </c>
      <c r="M44">
        <v>13.625589</v>
      </c>
      <c r="N44">
        <v>288</v>
      </c>
      <c r="O44">
        <v>1184</v>
      </c>
      <c r="P44">
        <v>1472</v>
      </c>
    </row>
    <row r="45" spans="1:16" x14ac:dyDescent="0.3">
      <c r="A45">
        <v>44</v>
      </c>
      <c r="B45" t="s">
        <v>35</v>
      </c>
      <c r="C45">
        <v>1</v>
      </c>
      <c r="D45">
        <v>0</v>
      </c>
      <c r="E45">
        <v>2</v>
      </c>
      <c r="F45">
        <v>0</v>
      </c>
      <c r="G45">
        <v>0</v>
      </c>
      <c r="H45">
        <v>0</v>
      </c>
      <c r="I45">
        <v>1</v>
      </c>
      <c r="J45">
        <v>12.977402</v>
      </c>
      <c r="K45">
        <v>16.205649999999999</v>
      </c>
      <c r="L45">
        <v>45.739100000000001</v>
      </c>
      <c r="M45">
        <v>17.479161000000001</v>
      </c>
      <c r="N45">
        <v>397</v>
      </c>
      <c r="O45">
        <v>1192</v>
      </c>
      <c r="P45">
        <v>1589</v>
      </c>
    </row>
    <row r="46" spans="1:16" x14ac:dyDescent="0.3">
      <c r="A46">
        <v>45</v>
      </c>
      <c r="B46" t="s">
        <v>36</v>
      </c>
      <c r="C46">
        <v>1</v>
      </c>
      <c r="D46">
        <v>0</v>
      </c>
      <c r="E46">
        <v>2</v>
      </c>
      <c r="F46">
        <v>0</v>
      </c>
      <c r="G46">
        <v>1</v>
      </c>
      <c r="H46">
        <v>1</v>
      </c>
      <c r="I46">
        <v>1</v>
      </c>
      <c r="J46">
        <v>17.015000000000001</v>
      </c>
      <c r="K46">
        <v>19.9175</v>
      </c>
      <c r="L46">
        <v>37.583300000000001</v>
      </c>
      <c r="M46">
        <v>27.999835999999998</v>
      </c>
      <c r="N46">
        <v>208</v>
      </c>
      <c r="O46">
        <v>1705</v>
      </c>
      <c r="P46">
        <v>1913</v>
      </c>
    </row>
    <row r="47" spans="1:16" x14ac:dyDescent="0.3">
      <c r="A47">
        <v>46</v>
      </c>
      <c r="B47" t="s">
        <v>37</v>
      </c>
      <c r="C47">
        <v>1</v>
      </c>
      <c r="D47">
        <v>0</v>
      </c>
      <c r="E47">
        <v>2</v>
      </c>
      <c r="F47">
        <v>0</v>
      </c>
      <c r="G47">
        <v>2</v>
      </c>
      <c r="H47">
        <v>1</v>
      </c>
      <c r="I47">
        <v>1</v>
      </c>
      <c r="J47">
        <v>10.909566999999999</v>
      </c>
      <c r="K47">
        <v>12.713699999999999</v>
      </c>
      <c r="L47">
        <v>31.434799999999999</v>
      </c>
      <c r="M47">
        <v>19.522058000000001</v>
      </c>
      <c r="N47">
        <v>140</v>
      </c>
      <c r="O47">
        <v>1675</v>
      </c>
      <c r="P47">
        <v>1815</v>
      </c>
    </row>
    <row r="48" spans="1:16" x14ac:dyDescent="0.3">
      <c r="A48">
        <v>47</v>
      </c>
      <c r="B48" t="s">
        <v>38</v>
      </c>
      <c r="C48">
        <v>1</v>
      </c>
      <c r="D48">
        <v>0</v>
      </c>
      <c r="E48">
        <v>2</v>
      </c>
      <c r="F48">
        <v>0</v>
      </c>
      <c r="G48">
        <v>3</v>
      </c>
      <c r="H48">
        <v>1</v>
      </c>
      <c r="I48">
        <v>1</v>
      </c>
      <c r="J48">
        <v>13.048700999999999</v>
      </c>
      <c r="K48">
        <v>15.81</v>
      </c>
      <c r="L48">
        <v>42.347799999999999</v>
      </c>
      <c r="M48">
        <v>16.869997000000001</v>
      </c>
      <c r="N48">
        <v>218</v>
      </c>
      <c r="O48">
        <v>1897</v>
      </c>
      <c r="P48">
        <v>2115</v>
      </c>
    </row>
    <row r="49" spans="1:16" x14ac:dyDescent="0.3">
      <c r="A49">
        <v>48</v>
      </c>
      <c r="B49" t="s">
        <v>39</v>
      </c>
      <c r="C49">
        <v>1</v>
      </c>
      <c r="D49">
        <v>0</v>
      </c>
      <c r="E49">
        <v>2</v>
      </c>
      <c r="F49">
        <v>0</v>
      </c>
      <c r="G49">
        <v>4</v>
      </c>
      <c r="H49">
        <v>1</v>
      </c>
      <c r="I49">
        <v>1</v>
      </c>
      <c r="J49">
        <v>17.869153000000001</v>
      </c>
      <c r="K49">
        <v>21.4329</v>
      </c>
      <c r="L49">
        <v>50.5</v>
      </c>
      <c r="M49">
        <v>15.416968000000001</v>
      </c>
      <c r="N49">
        <v>259</v>
      </c>
      <c r="O49">
        <v>2216</v>
      </c>
      <c r="P49">
        <v>2475</v>
      </c>
    </row>
    <row r="50" spans="1:16" x14ac:dyDescent="0.3">
      <c r="A50">
        <v>49</v>
      </c>
      <c r="B50" t="s">
        <v>40</v>
      </c>
      <c r="C50">
        <v>1</v>
      </c>
      <c r="D50">
        <v>0</v>
      </c>
      <c r="E50">
        <v>2</v>
      </c>
      <c r="F50">
        <v>0</v>
      </c>
      <c r="G50">
        <v>5</v>
      </c>
      <c r="H50">
        <v>1</v>
      </c>
      <c r="I50">
        <v>1</v>
      </c>
      <c r="J50">
        <v>21.388347</v>
      </c>
      <c r="K50">
        <v>25.599150000000002</v>
      </c>
      <c r="L50">
        <v>51.666699999999999</v>
      </c>
      <c r="M50">
        <v>17.749974999999999</v>
      </c>
      <c r="N50">
        <v>579</v>
      </c>
      <c r="O50">
        <v>2348</v>
      </c>
      <c r="P50">
        <v>2927</v>
      </c>
    </row>
    <row r="51" spans="1:16" x14ac:dyDescent="0.3">
      <c r="A51">
        <v>50</v>
      </c>
      <c r="B51" t="s">
        <v>41</v>
      </c>
      <c r="C51">
        <v>1</v>
      </c>
      <c r="D51">
        <v>0</v>
      </c>
      <c r="E51">
        <v>2</v>
      </c>
      <c r="F51">
        <v>0</v>
      </c>
      <c r="G51">
        <v>6</v>
      </c>
      <c r="H51">
        <v>0</v>
      </c>
      <c r="I51">
        <v>1</v>
      </c>
      <c r="J51">
        <v>16.365846999999999</v>
      </c>
      <c r="K51">
        <v>19.5702</v>
      </c>
      <c r="L51">
        <v>18.791699999999999</v>
      </c>
      <c r="M51">
        <v>34.000020999999997</v>
      </c>
      <c r="N51">
        <v>532</v>
      </c>
      <c r="O51">
        <v>1103</v>
      </c>
      <c r="P51">
        <v>1635</v>
      </c>
    </row>
    <row r="52" spans="1:16" x14ac:dyDescent="0.3">
      <c r="A52">
        <v>51</v>
      </c>
      <c r="B52" t="s">
        <v>42</v>
      </c>
      <c r="C52">
        <v>1</v>
      </c>
      <c r="D52">
        <v>0</v>
      </c>
      <c r="E52">
        <v>2</v>
      </c>
      <c r="F52">
        <v>0</v>
      </c>
      <c r="G52">
        <v>0</v>
      </c>
      <c r="H52">
        <v>0</v>
      </c>
      <c r="I52">
        <v>1</v>
      </c>
      <c r="J52">
        <v>11.693897</v>
      </c>
      <c r="K52">
        <v>13.8665</v>
      </c>
      <c r="L52">
        <v>40.782600000000002</v>
      </c>
      <c r="M52">
        <v>14.956745</v>
      </c>
      <c r="N52">
        <v>639</v>
      </c>
      <c r="O52">
        <v>1173</v>
      </c>
      <c r="P52">
        <v>1812</v>
      </c>
    </row>
    <row r="53" spans="1:16" x14ac:dyDescent="0.3">
      <c r="A53">
        <v>52</v>
      </c>
      <c r="B53" t="s">
        <v>43</v>
      </c>
      <c r="C53">
        <v>1</v>
      </c>
      <c r="D53">
        <v>0</v>
      </c>
      <c r="E53">
        <v>2</v>
      </c>
      <c r="F53">
        <v>1</v>
      </c>
      <c r="G53">
        <v>1</v>
      </c>
      <c r="H53">
        <v>0</v>
      </c>
      <c r="I53">
        <v>2</v>
      </c>
      <c r="J53">
        <v>12.436653</v>
      </c>
      <c r="K53">
        <v>14.203749999999999</v>
      </c>
      <c r="L53">
        <v>60.5</v>
      </c>
      <c r="M53">
        <v>20.625682000000001</v>
      </c>
      <c r="N53">
        <v>195</v>
      </c>
      <c r="O53">
        <v>912</v>
      </c>
      <c r="P53">
        <v>1107</v>
      </c>
    </row>
    <row r="54" spans="1:16" x14ac:dyDescent="0.3">
      <c r="A54">
        <v>53</v>
      </c>
      <c r="B54" t="s">
        <v>44</v>
      </c>
      <c r="C54">
        <v>1</v>
      </c>
      <c r="D54">
        <v>0</v>
      </c>
      <c r="E54">
        <v>2</v>
      </c>
      <c r="F54">
        <v>0</v>
      </c>
      <c r="G54">
        <v>2</v>
      </c>
      <c r="H54">
        <v>1</v>
      </c>
      <c r="I54">
        <v>1</v>
      </c>
      <c r="J54">
        <v>7.4711020000000001</v>
      </c>
      <c r="K54">
        <v>9.3016500000000004</v>
      </c>
      <c r="L54">
        <v>57.777799999999999</v>
      </c>
      <c r="M54">
        <v>13.110761</v>
      </c>
      <c r="N54">
        <v>74</v>
      </c>
      <c r="O54">
        <v>1376</v>
      </c>
      <c r="P54">
        <v>1450</v>
      </c>
    </row>
    <row r="55" spans="1:16" x14ac:dyDescent="0.3">
      <c r="A55">
        <v>54</v>
      </c>
      <c r="B55" t="s">
        <v>45</v>
      </c>
      <c r="C55">
        <v>1</v>
      </c>
      <c r="D55">
        <v>0</v>
      </c>
      <c r="E55">
        <v>2</v>
      </c>
      <c r="F55">
        <v>0</v>
      </c>
      <c r="G55">
        <v>3</v>
      </c>
      <c r="H55">
        <v>1</v>
      </c>
      <c r="I55">
        <v>1</v>
      </c>
      <c r="J55">
        <v>9.0912989999999994</v>
      </c>
      <c r="K55">
        <v>12.28585</v>
      </c>
      <c r="L55">
        <v>42.304299999999998</v>
      </c>
      <c r="M55">
        <v>6.3055709999999996</v>
      </c>
      <c r="N55">
        <v>139</v>
      </c>
      <c r="O55">
        <v>1778</v>
      </c>
      <c r="P55">
        <v>1917</v>
      </c>
    </row>
    <row r="56" spans="1:16" x14ac:dyDescent="0.3">
      <c r="A56">
        <v>55</v>
      </c>
      <c r="B56" t="s">
        <v>46</v>
      </c>
      <c r="C56">
        <v>1</v>
      </c>
      <c r="D56">
        <v>0</v>
      </c>
      <c r="E56">
        <v>2</v>
      </c>
      <c r="F56">
        <v>0</v>
      </c>
      <c r="G56">
        <v>4</v>
      </c>
      <c r="H56">
        <v>1</v>
      </c>
      <c r="I56">
        <v>2</v>
      </c>
      <c r="J56">
        <v>12.121732</v>
      </c>
      <c r="K56">
        <v>14.45955</v>
      </c>
      <c r="L56">
        <v>69.739099999999993</v>
      </c>
      <c r="M56">
        <v>16.783232000000002</v>
      </c>
      <c r="N56">
        <v>100</v>
      </c>
      <c r="O56">
        <v>1707</v>
      </c>
      <c r="P56">
        <v>1807</v>
      </c>
    </row>
    <row r="57" spans="1:16" x14ac:dyDescent="0.3">
      <c r="A57">
        <v>56</v>
      </c>
      <c r="B57" t="s">
        <v>47</v>
      </c>
      <c r="C57">
        <v>1</v>
      </c>
      <c r="D57">
        <v>0</v>
      </c>
      <c r="E57">
        <v>2</v>
      </c>
      <c r="F57">
        <v>0</v>
      </c>
      <c r="G57">
        <v>5</v>
      </c>
      <c r="H57">
        <v>1</v>
      </c>
      <c r="I57">
        <v>2</v>
      </c>
      <c r="J57">
        <v>14.938268000000001</v>
      </c>
      <c r="K57">
        <v>17.523050000000001</v>
      </c>
      <c r="L57">
        <v>71.217399999999998</v>
      </c>
      <c r="M57">
        <v>23.218112999999999</v>
      </c>
      <c r="N57">
        <v>120</v>
      </c>
      <c r="O57">
        <v>1341</v>
      </c>
      <c r="P57">
        <v>1461</v>
      </c>
    </row>
    <row r="58" spans="1:16" x14ac:dyDescent="0.3">
      <c r="A58">
        <v>57</v>
      </c>
      <c r="B58" t="s">
        <v>48</v>
      </c>
      <c r="C58">
        <v>1</v>
      </c>
      <c r="D58">
        <v>0</v>
      </c>
      <c r="E58">
        <v>2</v>
      </c>
      <c r="F58">
        <v>0</v>
      </c>
      <c r="G58">
        <v>6</v>
      </c>
      <c r="H58">
        <v>0</v>
      </c>
      <c r="I58">
        <v>1</v>
      </c>
      <c r="J58">
        <v>11.5825</v>
      </c>
      <c r="K58">
        <v>14.1096</v>
      </c>
      <c r="L58">
        <v>53.791699999999999</v>
      </c>
      <c r="M58">
        <v>12.500257</v>
      </c>
      <c r="N58">
        <v>424</v>
      </c>
      <c r="O58">
        <v>1545</v>
      </c>
      <c r="P58">
        <v>1969</v>
      </c>
    </row>
    <row r="59" spans="1:16" x14ac:dyDescent="0.3">
      <c r="A59">
        <v>58</v>
      </c>
      <c r="B59" t="s">
        <v>49</v>
      </c>
      <c r="C59">
        <v>1</v>
      </c>
      <c r="D59">
        <v>0</v>
      </c>
      <c r="E59">
        <v>2</v>
      </c>
      <c r="F59">
        <v>0</v>
      </c>
      <c r="G59">
        <v>0</v>
      </c>
      <c r="H59">
        <v>0</v>
      </c>
      <c r="I59">
        <v>1</v>
      </c>
      <c r="J59">
        <v>14.082598000000001</v>
      </c>
      <c r="K59">
        <v>17.55545</v>
      </c>
      <c r="L59">
        <v>68</v>
      </c>
      <c r="M59">
        <v>8.3916160000000009</v>
      </c>
      <c r="N59">
        <v>694</v>
      </c>
      <c r="O59">
        <v>1708</v>
      </c>
      <c r="P59">
        <v>2402</v>
      </c>
    </row>
    <row r="60" spans="1:16" x14ac:dyDescent="0.3">
      <c r="A60">
        <v>59</v>
      </c>
      <c r="B60" t="s">
        <v>50</v>
      </c>
      <c r="C60">
        <v>1</v>
      </c>
      <c r="D60">
        <v>0</v>
      </c>
      <c r="E60">
        <v>2</v>
      </c>
      <c r="F60">
        <v>0</v>
      </c>
      <c r="G60">
        <v>1</v>
      </c>
      <c r="H60">
        <v>1</v>
      </c>
      <c r="I60">
        <v>2</v>
      </c>
      <c r="J60">
        <v>16.698193</v>
      </c>
      <c r="K60">
        <v>20.0059</v>
      </c>
      <c r="L60">
        <v>87.636399999999995</v>
      </c>
      <c r="M60">
        <v>19.408961999999999</v>
      </c>
      <c r="N60">
        <v>81</v>
      </c>
      <c r="O60">
        <v>1365</v>
      </c>
      <c r="P60">
        <v>1446</v>
      </c>
    </row>
    <row r="61" spans="1:16" x14ac:dyDescent="0.3">
      <c r="A61">
        <v>60</v>
      </c>
      <c r="B61" s="1">
        <v>43103</v>
      </c>
      <c r="C61">
        <v>1</v>
      </c>
      <c r="D61">
        <v>0</v>
      </c>
      <c r="E61">
        <v>3</v>
      </c>
      <c r="F61">
        <v>0</v>
      </c>
      <c r="G61">
        <v>2</v>
      </c>
      <c r="H61">
        <v>1</v>
      </c>
      <c r="I61">
        <v>1</v>
      </c>
      <c r="J61">
        <v>10.933346999999999</v>
      </c>
      <c r="K61">
        <v>13.193949999999999</v>
      </c>
      <c r="L61">
        <v>53.5</v>
      </c>
      <c r="M61">
        <v>14.500475</v>
      </c>
      <c r="N61">
        <v>137</v>
      </c>
      <c r="O61">
        <v>1714</v>
      </c>
      <c r="P61">
        <v>1851</v>
      </c>
    </row>
    <row r="62" spans="1:16" x14ac:dyDescent="0.3">
      <c r="A62">
        <v>61</v>
      </c>
      <c r="B62" s="1">
        <v>43134</v>
      </c>
      <c r="C62">
        <v>1</v>
      </c>
      <c r="D62">
        <v>0</v>
      </c>
      <c r="E62">
        <v>3</v>
      </c>
      <c r="F62">
        <v>0</v>
      </c>
      <c r="G62">
        <v>3</v>
      </c>
      <c r="H62">
        <v>1</v>
      </c>
      <c r="I62">
        <v>1</v>
      </c>
      <c r="J62">
        <v>13.734999999999999</v>
      </c>
      <c r="K62">
        <v>16.003550000000001</v>
      </c>
      <c r="L62">
        <v>44.958300000000001</v>
      </c>
      <c r="M62">
        <v>20.624811000000001</v>
      </c>
      <c r="N62">
        <v>231</v>
      </c>
      <c r="O62">
        <v>1903</v>
      </c>
      <c r="P62">
        <v>2134</v>
      </c>
    </row>
    <row r="63" spans="1:16" x14ac:dyDescent="0.3">
      <c r="A63">
        <v>62</v>
      </c>
      <c r="B63" s="1">
        <v>43162</v>
      </c>
      <c r="C63">
        <v>1</v>
      </c>
      <c r="D63">
        <v>0</v>
      </c>
      <c r="E63">
        <v>3</v>
      </c>
      <c r="F63">
        <v>0</v>
      </c>
      <c r="G63">
        <v>4</v>
      </c>
      <c r="H63">
        <v>1</v>
      </c>
      <c r="I63">
        <v>1</v>
      </c>
      <c r="J63">
        <v>8.131653</v>
      </c>
      <c r="K63">
        <v>10.00665</v>
      </c>
      <c r="L63">
        <v>31.833300000000001</v>
      </c>
      <c r="M63">
        <v>15.125518</v>
      </c>
      <c r="N63">
        <v>123</v>
      </c>
      <c r="O63">
        <v>1562</v>
      </c>
      <c r="P63">
        <v>1685</v>
      </c>
    </row>
    <row r="64" spans="1:16" x14ac:dyDescent="0.3">
      <c r="A64">
        <v>63</v>
      </c>
      <c r="B64" s="1">
        <v>43193</v>
      </c>
      <c r="C64">
        <v>1</v>
      </c>
      <c r="D64">
        <v>0</v>
      </c>
      <c r="E64">
        <v>3</v>
      </c>
      <c r="F64">
        <v>0</v>
      </c>
      <c r="G64">
        <v>5</v>
      </c>
      <c r="H64">
        <v>1</v>
      </c>
      <c r="I64">
        <v>2</v>
      </c>
      <c r="J64">
        <v>10.728346999999999</v>
      </c>
      <c r="K64">
        <v>12.783950000000001</v>
      </c>
      <c r="L64">
        <v>61.041699999999999</v>
      </c>
      <c r="M64">
        <v>13.624181999999999</v>
      </c>
      <c r="N64">
        <v>214</v>
      </c>
      <c r="O64">
        <v>1730</v>
      </c>
      <c r="P64">
        <v>1944</v>
      </c>
    </row>
    <row r="65" spans="1:16" x14ac:dyDescent="0.3">
      <c r="A65">
        <v>64</v>
      </c>
      <c r="B65" s="1">
        <v>43223</v>
      </c>
      <c r="C65">
        <v>1</v>
      </c>
      <c r="D65">
        <v>0</v>
      </c>
      <c r="E65">
        <v>3</v>
      </c>
      <c r="F65">
        <v>0</v>
      </c>
      <c r="G65">
        <v>6</v>
      </c>
      <c r="H65">
        <v>0</v>
      </c>
      <c r="I65">
        <v>2</v>
      </c>
      <c r="J65">
        <v>15.750847</v>
      </c>
      <c r="K65">
        <v>18.938949999999998</v>
      </c>
      <c r="L65">
        <v>78.916700000000006</v>
      </c>
      <c r="M65">
        <v>16.875357000000001</v>
      </c>
      <c r="N65">
        <v>640</v>
      </c>
      <c r="O65">
        <v>1437</v>
      </c>
      <c r="P65">
        <v>2077</v>
      </c>
    </row>
    <row r="66" spans="1:16" x14ac:dyDescent="0.3">
      <c r="A66">
        <v>65</v>
      </c>
      <c r="B66" s="1">
        <v>43254</v>
      </c>
      <c r="C66">
        <v>1</v>
      </c>
      <c r="D66">
        <v>0</v>
      </c>
      <c r="E66">
        <v>3</v>
      </c>
      <c r="F66">
        <v>0</v>
      </c>
      <c r="G66">
        <v>0</v>
      </c>
      <c r="H66">
        <v>0</v>
      </c>
      <c r="I66">
        <v>2</v>
      </c>
      <c r="J66">
        <v>15.437402000000001</v>
      </c>
      <c r="K66">
        <v>18.3126</v>
      </c>
      <c r="L66">
        <v>94.826099999999997</v>
      </c>
      <c r="M66">
        <v>23.000229000000001</v>
      </c>
      <c r="N66">
        <v>114</v>
      </c>
      <c r="O66">
        <v>491</v>
      </c>
      <c r="P66">
        <v>605</v>
      </c>
    </row>
    <row r="67" spans="1:16" x14ac:dyDescent="0.3">
      <c r="A67">
        <v>66</v>
      </c>
      <c r="B67" s="1">
        <v>43284</v>
      </c>
      <c r="C67">
        <v>1</v>
      </c>
      <c r="D67">
        <v>0</v>
      </c>
      <c r="E67">
        <v>3</v>
      </c>
      <c r="F67">
        <v>0</v>
      </c>
      <c r="G67">
        <v>1</v>
      </c>
      <c r="H67">
        <v>1</v>
      </c>
      <c r="I67">
        <v>1</v>
      </c>
      <c r="J67">
        <v>10.731299</v>
      </c>
      <c r="K67">
        <v>11.92305</v>
      </c>
      <c r="L67">
        <v>55.130400000000002</v>
      </c>
      <c r="M67">
        <v>22.870584000000001</v>
      </c>
      <c r="N67">
        <v>244</v>
      </c>
      <c r="O67">
        <v>1628</v>
      </c>
      <c r="P67">
        <v>1872</v>
      </c>
    </row>
    <row r="68" spans="1:16" x14ac:dyDescent="0.3">
      <c r="A68">
        <v>67</v>
      </c>
      <c r="B68" s="1">
        <v>43315</v>
      </c>
      <c r="C68">
        <v>1</v>
      </c>
      <c r="D68">
        <v>0</v>
      </c>
      <c r="E68">
        <v>3</v>
      </c>
      <c r="F68">
        <v>0</v>
      </c>
      <c r="G68">
        <v>2</v>
      </c>
      <c r="H68">
        <v>1</v>
      </c>
      <c r="I68">
        <v>1</v>
      </c>
      <c r="J68">
        <v>11.9925</v>
      </c>
      <c r="K68">
        <v>15.12</v>
      </c>
      <c r="L68">
        <v>42.083300000000001</v>
      </c>
      <c r="M68">
        <v>8.0835500000000007</v>
      </c>
      <c r="N68">
        <v>316</v>
      </c>
      <c r="O68">
        <v>1817</v>
      </c>
      <c r="P68">
        <v>2133</v>
      </c>
    </row>
    <row r="69" spans="1:16" x14ac:dyDescent="0.3">
      <c r="A69">
        <v>68</v>
      </c>
      <c r="B69" s="1">
        <v>43346</v>
      </c>
      <c r="C69">
        <v>1</v>
      </c>
      <c r="D69">
        <v>0</v>
      </c>
      <c r="E69">
        <v>3</v>
      </c>
      <c r="F69">
        <v>0</v>
      </c>
      <c r="G69">
        <v>3</v>
      </c>
      <c r="H69">
        <v>1</v>
      </c>
      <c r="I69">
        <v>2</v>
      </c>
      <c r="J69">
        <v>12.129153000000001</v>
      </c>
      <c r="K69">
        <v>14.330399999999999</v>
      </c>
      <c r="L69">
        <v>77.541700000000006</v>
      </c>
      <c r="M69">
        <v>14.75005</v>
      </c>
      <c r="N69">
        <v>191</v>
      </c>
      <c r="O69">
        <v>1700</v>
      </c>
      <c r="P69">
        <v>1891</v>
      </c>
    </row>
    <row r="70" spans="1:16" x14ac:dyDescent="0.3">
      <c r="A70">
        <v>69</v>
      </c>
      <c r="B70" s="1">
        <v>43376</v>
      </c>
      <c r="C70">
        <v>1</v>
      </c>
      <c r="D70">
        <v>0</v>
      </c>
      <c r="E70">
        <v>3</v>
      </c>
      <c r="F70">
        <v>0</v>
      </c>
      <c r="G70">
        <v>4</v>
      </c>
      <c r="H70">
        <v>1</v>
      </c>
      <c r="I70">
        <v>3</v>
      </c>
      <c r="J70">
        <v>15.952731</v>
      </c>
      <c r="K70">
        <v>19.2834</v>
      </c>
      <c r="L70">
        <v>0</v>
      </c>
      <c r="M70">
        <v>17.545759</v>
      </c>
      <c r="N70">
        <v>46</v>
      </c>
      <c r="O70">
        <v>577</v>
      </c>
      <c r="P70">
        <v>623</v>
      </c>
    </row>
    <row r="71" spans="1:16" x14ac:dyDescent="0.3">
      <c r="A71">
        <v>70</v>
      </c>
      <c r="B71" s="1">
        <v>43407</v>
      </c>
      <c r="C71">
        <v>1</v>
      </c>
      <c r="D71">
        <v>0</v>
      </c>
      <c r="E71">
        <v>3</v>
      </c>
      <c r="F71">
        <v>0</v>
      </c>
      <c r="G71">
        <v>5</v>
      </c>
      <c r="H71">
        <v>1</v>
      </c>
      <c r="I71">
        <v>2</v>
      </c>
      <c r="J71">
        <v>12.977402</v>
      </c>
      <c r="K71">
        <v>15.25</v>
      </c>
      <c r="L71">
        <v>64.956500000000005</v>
      </c>
      <c r="M71">
        <v>15.60899</v>
      </c>
      <c r="N71">
        <v>247</v>
      </c>
      <c r="O71">
        <v>1730</v>
      </c>
      <c r="P71">
        <v>1977</v>
      </c>
    </row>
    <row r="72" spans="1:16" x14ac:dyDescent="0.3">
      <c r="A72">
        <v>71</v>
      </c>
      <c r="B72" s="1">
        <v>43437</v>
      </c>
      <c r="C72">
        <v>1</v>
      </c>
      <c r="D72">
        <v>0</v>
      </c>
      <c r="E72">
        <v>3</v>
      </c>
      <c r="F72">
        <v>0</v>
      </c>
      <c r="G72">
        <v>6</v>
      </c>
      <c r="H72">
        <v>0</v>
      </c>
      <c r="I72">
        <v>1</v>
      </c>
      <c r="J72">
        <v>13.495846999999999</v>
      </c>
      <c r="K72">
        <v>16.287500000000001</v>
      </c>
      <c r="L72">
        <v>59.458300000000001</v>
      </c>
      <c r="M72">
        <v>14.791925000000001</v>
      </c>
      <c r="N72">
        <v>724</v>
      </c>
      <c r="O72">
        <v>1408</v>
      </c>
      <c r="P72">
        <v>2132</v>
      </c>
    </row>
    <row r="73" spans="1:16" x14ac:dyDescent="0.3">
      <c r="A73">
        <v>72</v>
      </c>
      <c r="B73" t="s">
        <v>51</v>
      </c>
      <c r="C73">
        <v>1</v>
      </c>
      <c r="D73">
        <v>0</v>
      </c>
      <c r="E73">
        <v>3</v>
      </c>
      <c r="F73">
        <v>0</v>
      </c>
      <c r="G73">
        <v>0</v>
      </c>
      <c r="H73">
        <v>0</v>
      </c>
      <c r="I73">
        <v>1</v>
      </c>
      <c r="J73">
        <v>15.758267999999999</v>
      </c>
      <c r="K73">
        <v>19.004549999999998</v>
      </c>
      <c r="L73">
        <v>52.739100000000001</v>
      </c>
      <c r="M73">
        <v>18.130468</v>
      </c>
      <c r="N73">
        <v>982</v>
      </c>
      <c r="O73">
        <v>1435</v>
      </c>
      <c r="P73">
        <v>2417</v>
      </c>
    </row>
    <row r="74" spans="1:16" x14ac:dyDescent="0.3">
      <c r="A74">
        <v>73</v>
      </c>
      <c r="B74" t="s">
        <v>52</v>
      </c>
      <c r="C74">
        <v>1</v>
      </c>
      <c r="D74">
        <v>0</v>
      </c>
      <c r="E74">
        <v>3</v>
      </c>
      <c r="F74">
        <v>0</v>
      </c>
      <c r="G74">
        <v>1</v>
      </c>
      <c r="H74">
        <v>1</v>
      </c>
      <c r="I74">
        <v>1</v>
      </c>
      <c r="J74">
        <v>13.333897</v>
      </c>
      <c r="K74">
        <v>16.600000000000001</v>
      </c>
      <c r="L74">
        <v>49.695700000000002</v>
      </c>
      <c r="M74">
        <v>9.174042</v>
      </c>
      <c r="N74">
        <v>359</v>
      </c>
      <c r="O74">
        <v>1687</v>
      </c>
      <c r="P74">
        <v>2046</v>
      </c>
    </row>
    <row r="75" spans="1:16" x14ac:dyDescent="0.3">
      <c r="A75">
        <v>74</v>
      </c>
      <c r="B75" t="s">
        <v>53</v>
      </c>
      <c r="C75">
        <v>1</v>
      </c>
      <c r="D75">
        <v>0</v>
      </c>
      <c r="E75">
        <v>3</v>
      </c>
      <c r="F75">
        <v>0</v>
      </c>
      <c r="G75">
        <v>2</v>
      </c>
      <c r="H75">
        <v>1</v>
      </c>
      <c r="I75">
        <v>2</v>
      </c>
      <c r="J75">
        <v>13.013031</v>
      </c>
      <c r="K75">
        <v>15.908899999999999</v>
      </c>
      <c r="L75">
        <v>65.565200000000004</v>
      </c>
      <c r="M75">
        <v>12.348703</v>
      </c>
      <c r="N75">
        <v>289</v>
      </c>
      <c r="O75">
        <v>1767</v>
      </c>
      <c r="P75">
        <v>2056</v>
      </c>
    </row>
    <row r="76" spans="1:16" x14ac:dyDescent="0.3">
      <c r="A76">
        <v>75</v>
      </c>
      <c r="B76" t="s">
        <v>54</v>
      </c>
      <c r="C76">
        <v>1</v>
      </c>
      <c r="D76">
        <v>0</v>
      </c>
      <c r="E76">
        <v>3</v>
      </c>
      <c r="F76">
        <v>0</v>
      </c>
      <c r="G76">
        <v>3</v>
      </c>
      <c r="H76">
        <v>1</v>
      </c>
      <c r="I76">
        <v>2</v>
      </c>
      <c r="J76">
        <v>14.973896999999999</v>
      </c>
      <c r="K76">
        <v>18.346499999999999</v>
      </c>
      <c r="L76">
        <v>77.652199999999993</v>
      </c>
      <c r="M76">
        <v>13.608839</v>
      </c>
      <c r="N76">
        <v>321</v>
      </c>
      <c r="O76">
        <v>1871</v>
      </c>
      <c r="P76">
        <v>2192</v>
      </c>
    </row>
    <row r="77" spans="1:16" x14ac:dyDescent="0.3">
      <c r="A77">
        <v>76</v>
      </c>
      <c r="B77" t="s">
        <v>55</v>
      </c>
      <c r="C77">
        <v>1</v>
      </c>
      <c r="D77">
        <v>0</v>
      </c>
      <c r="E77">
        <v>3</v>
      </c>
      <c r="F77">
        <v>0</v>
      </c>
      <c r="G77">
        <v>4</v>
      </c>
      <c r="H77">
        <v>1</v>
      </c>
      <c r="I77">
        <v>1</v>
      </c>
      <c r="J77">
        <v>17.015000000000001</v>
      </c>
      <c r="K77">
        <v>20.516649999999998</v>
      </c>
      <c r="L77">
        <v>60.291699999999999</v>
      </c>
      <c r="M77">
        <v>14.041793</v>
      </c>
      <c r="N77">
        <v>424</v>
      </c>
      <c r="O77">
        <v>2320</v>
      </c>
      <c r="P77">
        <v>2744</v>
      </c>
    </row>
    <row r="78" spans="1:16" x14ac:dyDescent="0.3">
      <c r="A78">
        <v>77</v>
      </c>
      <c r="B78" t="s">
        <v>56</v>
      </c>
      <c r="C78">
        <v>1</v>
      </c>
      <c r="D78">
        <v>0</v>
      </c>
      <c r="E78">
        <v>3</v>
      </c>
      <c r="F78">
        <v>0</v>
      </c>
      <c r="G78">
        <v>5</v>
      </c>
      <c r="H78">
        <v>1</v>
      </c>
      <c r="I78">
        <v>1</v>
      </c>
      <c r="J78">
        <v>22.14</v>
      </c>
      <c r="K78">
        <v>26.350449999999999</v>
      </c>
      <c r="L78">
        <v>52.521700000000003</v>
      </c>
      <c r="M78">
        <v>15.478139000000001</v>
      </c>
      <c r="N78">
        <v>884</v>
      </c>
      <c r="O78">
        <v>2355</v>
      </c>
      <c r="P78">
        <v>3239</v>
      </c>
    </row>
    <row r="79" spans="1:16" x14ac:dyDescent="0.3">
      <c r="A79">
        <v>78</v>
      </c>
      <c r="B79" t="s">
        <v>57</v>
      </c>
      <c r="C79">
        <v>1</v>
      </c>
      <c r="D79">
        <v>0</v>
      </c>
      <c r="E79">
        <v>3</v>
      </c>
      <c r="F79">
        <v>0</v>
      </c>
      <c r="G79">
        <v>6</v>
      </c>
      <c r="H79">
        <v>0</v>
      </c>
      <c r="I79">
        <v>1</v>
      </c>
      <c r="J79">
        <v>19.372499999999999</v>
      </c>
      <c r="K79">
        <v>23.326250000000002</v>
      </c>
      <c r="L79">
        <v>37.916699999999999</v>
      </c>
      <c r="M79">
        <v>24.667189</v>
      </c>
      <c r="N79">
        <v>1424</v>
      </c>
      <c r="O79">
        <v>1693</v>
      </c>
      <c r="P79">
        <v>3117</v>
      </c>
    </row>
    <row r="80" spans="1:16" x14ac:dyDescent="0.3">
      <c r="A80">
        <v>79</v>
      </c>
      <c r="B80" t="s">
        <v>58</v>
      </c>
      <c r="C80">
        <v>1</v>
      </c>
      <c r="D80">
        <v>0</v>
      </c>
      <c r="E80">
        <v>3</v>
      </c>
      <c r="F80">
        <v>0</v>
      </c>
      <c r="G80">
        <v>0</v>
      </c>
      <c r="H80">
        <v>0</v>
      </c>
      <c r="I80">
        <v>1</v>
      </c>
      <c r="J80">
        <v>13.6325</v>
      </c>
      <c r="K80">
        <v>16.287500000000001</v>
      </c>
      <c r="L80">
        <v>47.375</v>
      </c>
      <c r="M80">
        <v>13.917306999999999</v>
      </c>
      <c r="N80">
        <v>1047</v>
      </c>
      <c r="O80">
        <v>1424</v>
      </c>
      <c r="P80">
        <v>2471</v>
      </c>
    </row>
    <row r="81" spans="1:16" x14ac:dyDescent="0.3">
      <c r="A81">
        <v>80</v>
      </c>
      <c r="B81" t="s">
        <v>59</v>
      </c>
      <c r="C81">
        <v>2</v>
      </c>
      <c r="D81">
        <v>0</v>
      </c>
      <c r="E81">
        <v>3</v>
      </c>
      <c r="F81">
        <v>0</v>
      </c>
      <c r="G81">
        <v>1</v>
      </c>
      <c r="H81">
        <v>1</v>
      </c>
      <c r="I81">
        <v>2</v>
      </c>
      <c r="J81">
        <v>17.647835000000001</v>
      </c>
      <c r="K81">
        <v>20.486750000000001</v>
      </c>
      <c r="L81">
        <v>73.739099999999993</v>
      </c>
      <c r="M81">
        <v>19.348461</v>
      </c>
      <c r="N81">
        <v>401</v>
      </c>
      <c r="O81">
        <v>1676</v>
      </c>
      <c r="P81">
        <v>2077</v>
      </c>
    </row>
    <row r="82" spans="1:16" x14ac:dyDescent="0.3">
      <c r="A82">
        <v>81</v>
      </c>
      <c r="B82" t="s">
        <v>60</v>
      </c>
      <c r="C82">
        <v>2</v>
      </c>
      <c r="D82">
        <v>0</v>
      </c>
      <c r="E82">
        <v>3</v>
      </c>
      <c r="F82">
        <v>0</v>
      </c>
      <c r="G82">
        <v>2</v>
      </c>
      <c r="H82">
        <v>1</v>
      </c>
      <c r="I82">
        <v>1</v>
      </c>
      <c r="J82">
        <v>18.108346999999998</v>
      </c>
      <c r="K82">
        <v>22.0321</v>
      </c>
      <c r="L82">
        <v>62.458300000000001</v>
      </c>
      <c r="M82">
        <v>15.125249999999999</v>
      </c>
      <c r="N82">
        <v>460</v>
      </c>
      <c r="O82">
        <v>2243</v>
      </c>
      <c r="P82">
        <v>2703</v>
      </c>
    </row>
    <row r="83" spans="1:16" x14ac:dyDescent="0.3">
      <c r="A83">
        <v>82</v>
      </c>
      <c r="B83" t="s">
        <v>61</v>
      </c>
      <c r="C83">
        <v>2</v>
      </c>
      <c r="D83">
        <v>0</v>
      </c>
      <c r="E83">
        <v>3</v>
      </c>
      <c r="F83">
        <v>0</v>
      </c>
      <c r="G83">
        <v>3</v>
      </c>
      <c r="H83">
        <v>1</v>
      </c>
      <c r="I83">
        <v>2</v>
      </c>
      <c r="J83">
        <v>14.225237</v>
      </c>
      <c r="K83">
        <v>16.89695</v>
      </c>
      <c r="L83">
        <v>83.956500000000005</v>
      </c>
      <c r="M83">
        <v>15.695487</v>
      </c>
      <c r="N83">
        <v>203</v>
      </c>
      <c r="O83">
        <v>1918</v>
      </c>
      <c r="P83">
        <v>2121</v>
      </c>
    </row>
    <row r="84" spans="1:16" x14ac:dyDescent="0.3">
      <c r="A84">
        <v>83</v>
      </c>
      <c r="B84" t="s">
        <v>62</v>
      </c>
      <c r="C84">
        <v>2</v>
      </c>
      <c r="D84">
        <v>0</v>
      </c>
      <c r="E84">
        <v>3</v>
      </c>
      <c r="F84">
        <v>0</v>
      </c>
      <c r="G84">
        <v>4</v>
      </c>
      <c r="H84">
        <v>1</v>
      </c>
      <c r="I84">
        <v>2</v>
      </c>
      <c r="J84">
        <v>11.685</v>
      </c>
      <c r="K84">
        <v>13.541650000000001</v>
      </c>
      <c r="L84">
        <v>80.583299999999994</v>
      </c>
      <c r="M84">
        <v>16.333729000000002</v>
      </c>
      <c r="N84">
        <v>166</v>
      </c>
      <c r="O84">
        <v>1699</v>
      </c>
      <c r="P84">
        <v>1865</v>
      </c>
    </row>
    <row r="85" spans="1:16" x14ac:dyDescent="0.3">
      <c r="A85">
        <v>84</v>
      </c>
      <c r="B85" t="s">
        <v>63</v>
      </c>
      <c r="C85">
        <v>2</v>
      </c>
      <c r="D85">
        <v>0</v>
      </c>
      <c r="E85">
        <v>3</v>
      </c>
      <c r="F85">
        <v>0</v>
      </c>
      <c r="G85">
        <v>5</v>
      </c>
      <c r="H85">
        <v>1</v>
      </c>
      <c r="I85">
        <v>1</v>
      </c>
      <c r="J85">
        <v>10.830847</v>
      </c>
      <c r="K85">
        <v>12.8156</v>
      </c>
      <c r="L85">
        <v>49.5</v>
      </c>
      <c r="M85">
        <v>15.458575</v>
      </c>
      <c r="N85">
        <v>300</v>
      </c>
      <c r="O85">
        <v>1910</v>
      </c>
      <c r="P85">
        <v>2210</v>
      </c>
    </row>
    <row r="86" spans="1:16" x14ac:dyDescent="0.3">
      <c r="A86">
        <v>85</v>
      </c>
      <c r="B86" t="s">
        <v>64</v>
      </c>
      <c r="C86">
        <v>2</v>
      </c>
      <c r="D86">
        <v>0</v>
      </c>
      <c r="E86">
        <v>3</v>
      </c>
      <c r="F86">
        <v>0</v>
      </c>
      <c r="G86">
        <v>6</v>
      </c>
      <c r="H86">
        <v>0</v>
      </c>
      <c r="I86">
        <v>1</v>
      </c>
      <c r="J86">
        <v>10.899153</v>
      </c>
      <c r="K86">
        <v>12.878550000000001</v>
      </c>
      <c r="L86">
        <v>39.416699999999999</v>
      </c>
      <c r="M86">
        <v>14.041257</v>
      </c>
      <c r="N86">
        <v>981</v>
      </c>
      <c r="O86">
        <v>1515</v>
      </c>
      <c r="P86">
        <v>2496</v>
      </c>
    </row>
    <row r="87" spans="1:16" x14ac:dyDescent="0.3">
      <c r="A87">
        <v>86</v>
      </c>
      <c r="B87" t="s">
        <v>65</v>
      </c>
      <c r="C87">
        <v>2</v>
      </c>
      <c r="D87">
        <v>0</v>
      </c>
      <c r="E87">
        <v>3</v>
      </c>
      <c r="F87">
        <v>0</v>
      </c>
      <c r="G87">
        <v>0</v>
      </c>
      <c r="H87">
        <v>0</v>
      </c>
      <c r="I87">
        <v>2</v>
      </c>
      <c r="J87">
        <v>10.374763</v>
      </c>
      <c r="K87">
        <v>12.51695</v>
      </c>
      <c r="L87">
        <v>49.391300000000001</v>
      </c>
      <c r="M87">
        <v>12.348100000000001</v>
      </c>
      <c r="N87">
        <v>472</v>
      </c>
      <c r="O87">
        <v>1221</v>
      </c>
      <c r="P87">
        <v>1693</v>
      </c>
    </row>
    <row r="88" spans="1:16" x14ac:dyDescent="0.3">
      <c r="A88">
        <v>87</v>
      </c>
      <c r="B88" t="s">
        <v>66</v>
      </c>
      <c r="C88">
        <v>2</v>
      </c>
      <c r="D88">
        <v>0</v>
      </c>
      <c r="E88">
        <v>3</v>
      </c>
      <c r="F88">
        <v>0</v>
      </c>
      <c r="G88">
        <v>1</v>
      </c>
      <c r="H88">
        <v>1</v>
      </c>
      <c r="I88">
        <v>1</v>
      </c>
      <c r="J88">
        <v>10.838267999999999</v>
      </c>
      <c r="K88">
        <v>12.8787</v>
      </c>
      <c r="L88">
        <v>30.217400000000001</v>
      </c>
      <c r="M88">
        <v>14.217668</v>
      </c>
      <c r="N88">
        <v>222</v>
      </c>
      <c r="O88">
        <v>1806</v>
      </c>
      <c r="P88">
        <v>2028</v>
      </c>
    </row>
    <row r="89" spans="1:16" x14ac:dyDescent="0.3">
      <c r="A89">
        <v>88</v>
      </c>
      <c r="B89" t="s">
        <v>67</v>
      </c>
      <c r="C89">
        <v>2</v>
      </c>
      <c r="D89">
        <v>0</v>
      </c>
      <c r="E89">
        <v>3</v>
      </c>
      <c r="F89">
        <v>0</v>
      </c>
      <c r="G89">
        <v>2</v>
      </c>
      <c r="H89">
        <v>1</v>
      </c>
      <c r="I89">
        <v>1</v>
      </c>
      <c r="J89">
        <v>12.4025</v>
      </c>
      <c r="K89">
        <v>14.6454</v>
      </c>
      <c r="L89">
        <v>31.416699999999999</v>
      </c>
      <c r="M89">
        <v>15.208731999999999</v>
      </c>
      <c r="N89">
        <v>317</v>
      </c>
      <c r="O89">
        <v>2108</v>
      </c>
      <c r="P89">
        <v>2425</v>
      </c>
    </row>
    <row r="90" spans="1:16" x14ac:dyDescent="0.3">
      <c r="A90">
        <v>89</v>
      </c>
      <c r="B90" t="s">
        <v>68</v>
      </c>
      <c r="C90">
        <v>2</v>
      </c>
      <c r="D90">
        <v>0</v>
      </c>
      <c r="E90">
        <v>3</v>
      </c>
      <c r="F90">
        <v>0</v>
      </c>
      <c r="G90">
        <v>3</v>
      </c>
      <c r="H90">
        <v>1</v>
      </c>
      <c r="I90">
        <v>2</v>
      </c>
      <c r="J90">
        <v>12.3</v>
      </c>
      <c r="K90">
        <v>14.8675</v>
      </c>
      <c r="L90">
        <v>64.666700000000006</v>
      </c>
      <c r="M90">
        <v>11.583496</v>
      </c>
      <c r="N90">
        <v>168</v>
      </c>
      <c r="O90">
        <v>1368</v>
      </c>
      <c r="P90">
        <v>1536</v>
      </c>
    </row>
    <row r="91" spans="1:16" x14ac:dyDescent="0.3">
      <c r="A91">
        <v>90</v>
      </c>
      <c r="B91" t="s">
        <v>69</v>
      </c>
      <c r="C91">
        <v>2</v>
      </c>
      <c r="D91">
        <v>0</v>
      </c>
      <c r="E91">
        <v>3</v>
      </c>
      <c r="F91">
        <v>0</v>
      </c>
      <c r="G91">
        <v>4</v>
      </c>
      <c r="H91">
        <v>1</v>
      </c>
      <c r="I91">
        <v>3</v>
      </c>
      <c r="J91">
        <v>11.001652999999999</v>
      </c>
      <c r="K91">
        <v>12.87875</v>
      </c>
      <c r="L91">
        <v>91.833299999999994</v>
      </c>
      <c r="M91">
        <v>14.582281999999999</v>
      </c>
      <c r="N91">
        <v>179</v>
      </c>
      <c r="O91">
        <v>1506</v>
      </c>
      <c r="P91">
        <v>1685</v>
      </c>
    </row>
    <row r="92" spans="1:16" x14ac:dyDescent="0.3">
      <c r="A92">
        <v>91</v>
      </c>
      <c r="B92" s="1">
        <v>43104</v>
      </c>
      <c r="C92">
        <v>2</v>
      </c>
      <c r="D92">
        <v>0</v>
      </c>
      <c r="E92">
        <v>4</v>
      </c>
      <c r="F92">
        <v>0</v>
      </c>
      <c r="G92">
        <v>5</v>
      </c>
      <c r="H92">
        <v>1</v>
      </c>
      <c r="I92">
        <v>2</v>
      </c>
      <c r="J92">
        <v>12.3</v>
      </c>
      <c r="K92">
        <v>14.172700000000001</v>
      </c>
      <c r="L92">
        <v>68.625</v>
      </c>
      <c r="M92">
        <v>17.333435999999999</v>
      </c>
      <c r="N92">
        <v>307</v>
      </c>
      <c r="O92">
        <v>1920</v>
      </c>
      <c r="P92">
        <v>2227</v>
      </c>
    </row>
    <row r="93" spans="1:16" x14ac:dyDescent="0.3">
      <c r="A93">
        <v>92</v>
      </c>
      <c r="B93" s="1">
        <v>43135</v>
      </c>
      <c r="C93">
        <v>2</v>
      </c>
      <c r="D93">
        <v>0</v>
      </c>
      <c r="E93">
        <v>4</v>
      </c>
      <c r="F93">
        <v>0</v>
      </c>
      <c r="G93">
        <v>6</v>
      </c>
      <c r="H93">
        <v>0</v>
      </c>
      <c r="I93">
        <v>2</v>
      </c>
      <c r="J93">
        <v>12.914999999999999</v>
      </c>
      <c r="K93">
        <v>15.78185</v>
      </c>
      <c r="L93">
        <v>65.375</v>
      </c>
      <c r="M93">
        <v>13.208781999999999</v>
      </c>
      <c r="N93">
        <v>898</v>
      </c>
      <c r="O93">
        <v>1354</v>
      </c>
      <c r="P93">
        <v>2252</v>
      </c>
    </row>
    <row r="94" spans="1:16" x14ac:dyDescent="0.3">
      <c r="A94">
        <v>93</v>
      </c>
      <c r="B94" s="1">
        <v>43163</v>
      </c>
      <c r="C94">
        <v>2</v>
      </c>
      <c r="D94">
        <v>0</v>
      </c>
      <c r="E94">
        <v>4</v>
      </c>
      <c r="F94">
        <v>0</v>
      </c>
      <c r="G94">
        <v>0</v>
      </c>
      <c r="H94">
        <v>0</v>
      </c>
      <c r="I94">
        <v>1</v>
      </c>
      <c r="J94">
        <v>15.511653000000001</v>
      </c>
      <c r="K94">
        <v>18.93835</v>
      </c>
      <c r="L94">
        <v>48</v>
      </c>
      <c r="M94">
        <v>12.208271</v>
      </c>
      <c r="N94">
        <v>1651</v>
      </c>
      <c r="O94">
        <v>1598</v>
      </c>
      <c r="P94">
        <v>3249</v>
      </c>
    </row>
    <row r="95" spans="1:16" x14ac:dyDescent="0.3">
      <c r="A95">
        <v>94</v>
      </c>
      <c r="B95" s="1">
        <v>43194</v>
      </c>
      <c r="C95">
        <v>2</v>
      </c>
      <c r="D95">
        <v>0</v>
      </c>
      <c r="E95">
        <v>4</v>
      </c>
      <c r="F95">
        <v>0</v>
      </c>
      <c r="G95">
        <v>1</v>
      </c>
      <c r="H95">
        <v>1</v>
      </c>
      <c r="I95">
        <v>1</v>
      </c>
      <c r="J95">
        <v>23.506653</v>
      </c>
      <c r="K95">
        <v>27.146450000000002</v>
      </c>
      <c r="L95">
        <v>42.625</v>
      </c>
      <c r="M95">
        <v>25.833257</v>
      </c>
      <c r="N95">
        <v>734</v>
      </c>
      <c r="O95">
        <v>2381</v>
      </c>
      <c r="P95">
        <v>3115</v>
      </c>
    </row>
    <row r="96" spans="1:16" x14ac:dyDescent="0.3">
      <c r="A96">
        <v>95</v>
      </c>
      <c r="B96" s="1">
        <v>43224</v>
      </c>
      <c r="C96">
        <v>2</v>
      </c>
      <c r="D96">
        <v>0</v>
      </c>
      <c r="E96">
        <v>4</v>
      </c>
      <c r="F96">
        <v>0</v>
      </c>
      <c r="G96">
        <v>2</v>
      </c>
      <c r="H96">
        <v>1</v>
      </c>
      <c r="I96">
        <v>2</v>
      </c>
      <c r="J96">
        <v>16.980847000000001</v>
      </c>
      <c r="K96">
        <v>19.9175</v>
      </c>
      <c r="L96">
        <v>64.208299999999994</v>
      </c>
      <c r="M96">
        <v>26.000489000000002</v>
      </c>
      <c r="N96">
        <v>167</v>
      </c>
      <c r="O96">
        <v>1628</v>
      </c>
      <c r="P96">
        <v>1795</v>
      </c>
    </row>
    <row r="97" spans="1:16" x14ac:dyDescent="0.3">
      <c r="A97">
        <v>96</v>
      </c>
      <c r="B97" s="1">
        <v>43255</v>
      </c>
      <c r="C97">
        <v>2</v>
      </c>
      <c r="D97">
        <v>0</v>
      </c>
      <c r="E97">
        <v>4</v>
      </c>
      <c r="F97">
        <v>0</v>
      </c>
      <c r="G97">
        <v>3</v>
      </c>
      <c r="H97">
        <v>1</v>
      </c>
      <c r="I97">
        <v>1</v>
      </c>
      <c r="J97">
        <v>16.024152999999998</v>
      </c>
      <c r="K97">
        <v>19.380400000000002</v>
      </c>
      <c r="L97">
        <v>47.083300000000001</v>
      </c>
      <c r="M97">
        <v>17.625221</v>
      </c>
      <c r="N97">
        <v>413</v>
      </c>
      <c r="O97">
        <v>2395</v>
      </c>
      <c r="P97">
        <v>2808</v>
      </c>
    </row>
    <row r="98" spans="1:16" x14ac:dyDescent="0.3">
      <c r="A98">
        <v>97</v>
      </c>
      <c r="B98" s="1">
        <v>43285</v>
      </c>
      <c r="C98">
        <v>2</v>
      </c>
      <c r="D98">
        <v>0</v>
      </c>
      <c r="E98">
        <v>4</v>
      </c>
      <c r="F98">
        <v>0</v>
      </c>
      <c r="G98">
        <v>4</v>
      </c>
      <c r="H98">
        <v>1</v>
      </c>
      <c r="I98">
        <v>1</v>
      </c>
      <c r="J98">
        <v>17.9375</v>
      </c>
      <c r="K98">
        <v>21.684799999999999</v>
      </c>
      <c r="L98">
        <v>60.291699999999999</v>
      </c>
      <c r="M98">
        <v>10.874904000000001</v>
      </c>
      <c r="N98">
        <v>571</v>
      </c>
      <c r="O98">
        <v>2570</v>
      </c>
      <c r="P98">
        <v>3141</v>
      </c>
    </row>
    <row r="99" spans="1:16" x14ac:dyDescent="0.3">
      <c r="A99">
        <v>98</v>
      </c>
      <c r="B99" s="1">
        <v>43316</v>
      </c>
      <c r="C99">
        <v>2</v>
      </c>
      <c r="D99">
        <v>0</v>
      </c>
      <c r="E99">
        <v>4</v>
      </c>
      <c r="F99">
        <v>0</v>
      </c>
      <c r="G99">
        <v>5</v>
      </c>
      <c r="H99">
        <v>1</v>
      </c>
      <c r="I99">
        <v>2</v>
      </c>
      <c r="J99">
        <v>13.769152999999999</v>
      </c>
      <c r="K99">
        <v>16.223949999999999</v>
      </c>
      <c r="L99">
        <v>83.625</v>
      </c>
      <c r="M99">
        <v>15.208463999999999</v>
      </c>
      <c r="N99">
        <v>172</v>
      </c>
      <c r="O99">
        <v>1299</v>
      </c>
      <c r="P99">
        <v>1471</v>
      </c>
    </row>
    <row r="100" spans="1:16" x14ac:dyDescent="0.3">
      <c r="A100">
        <v>99</v>
      </c>
      <c r="B100" s="1">
        <v>43347</v>
      </c>
      <c r="C100">
        <v>2</v>
      </c>
      <c r="D100">
        <v>0</v>
      </c>
      <c r="E100">
        <v>4</v>
      </c>
      <c r="F100">
        <v>0</v>
      </c>
      <c r="G100">
        <v>6</v>
      </c>
      <c r="H100">
        <v>0</v>
      </c>
      <c r="I100">
        <v>2</v>
      </c>
      <c r="J100">
        <v>14.0425</v>
      </c>
      <c r="K100">
        <v>17.076450000000001</v>
      </c>
      <c r="L100">
        <v>87.75</v>
      </c>
      <c r="M100">
        <v>8.9165609999999997</v>
      </c>
      <c r="N100">
        <v>879</v>
      </c>
      <c r="O100">
        <v>1576</v>
      </c>
      <c r="P100">
        <v>2455</v>
      </c>
    </row>
    <row r="101" spans="1:16" x14ac:dyDescent="0.3">
      <c r="A101">
        <v>100</v>
      </c>
      <c r="B101" s="1">
        <v>43377</v>
      </c>
      <c r="C101">
        <v>2</v>
      </c>
      <c r="D101">
        <v>0</v>
      </c>
      <c r="E101">
        <v>4</v>
      </c>
      <c r="F101">
        <v>0</v>
      </c>
      <c r="G101">
        <v>0</v>
      </c>
      <c r="H101">
        <v>0</v>
      </c>
      <c r="I101">
        <v>2</v>
      </c>
      <c r="J101">
        <v>17.493347</v>
      </c>
      <c r="K101">
        <v>21.336849999999998</v>
      </c>
      <c r="L101">
        <v>85.75</v>
      </c>
      <c r="M101">
        <v>9.8333890000000004</v>
      </c>
      <c r="N101">
        <v>1188</v>
      </c>
      <c r="O101">
        <v>1707</v>
      </c>
      <c r="P101">
        <v>2895</v>
      </c>
    </row>
    <row r="102" spans="1:16" x14ac:dyDescent="0.3">
      <c r="A102">
        <v>101</v>
      </c>
      <c r="B102" s="1">
        <v>43408</v>
      </c>
      <c r="C102">
        <v>2</v>
      </c>
      <c r="D102">
        <v>0</v>
      </c>
      <c r="E102">
        <v>4</v>
      </c>
      <c r="F102">
        <v>0</v>
      </c>
      <c r="G102">
        <v>1</v>
      </c>
      <c r="H102">
        <v>1</v>
      </c>
      <c r="I102">
        <v>2</v>
      </c>
      <c r="J102">
        <v>24.421731999999999</v>
      </c>
      <c r="K102">
        <v>28.260850000000001</v>
      </c>
      <c r="L102">
        <v>71.695599999999999</v>
      </c>
      <c r="M102">
        <v>21.739757999999998</v>
      </c>
      <c r="N102">
        <v>855</v>
      </c>
      <c r="O102">
        <v>2493</v>
      </c>
      <c r="P102">
        <v>3348</v>
      </c>
    </row>
    <row r="103" spans="1:16" x14ac:dyDescent="0.3">
      <c r="A103">
        <v>102</v>
      </c>
      <c r="B103" s="1">
        <v>43438</v>
      </c>
      <c r="C103">
        <v>2</v>
      </c>
      <c r="D103">
        <v>0</v>
      </c>
      <c r="E103">
        <v>4</v>
      </c>
      <c r="F103">
        <v>0</v>
      </c>
      <c r="G103">
        <v>2</v>
      </c>
      <c r="H103">
        <v>1</v>
      </c>
      <c r="I103">
        <v>2</v>
      </c>
      <c r="J103">
        <v>20.602499999999999</v>
      </c>
      <c r="K103">
        <v>24.652699999999999</v>
      </c>
      <c r="L103">
        <v>73.916700000000006</v>
      </c>
      <c r="M103">
        <v>18.416893000000002</v>
      </c>
      <c r="N103">
        <v>257</v>
      </c>
      <c r="O103">
        <v>1777</v>
      </c>
      <c r="P103">
        <v>2034</v>
      </c>
    </row>
    <row r="104" spans="1:16" x14ac:dyDescent="0.3">
      <c r="A104">
        <v>103</v>
      </c>
      <c r="B104" t="s">
        <v>70</v>
      </c>
      <c r="C104">
        <v>2</v>
      </c>
      <c r="D104">
        <v>0</v>
      </c>
      <c r="E104">
        <v>4</v>
      </c>
      <c r="F104">
        <v>0</v>
      </c>
      <c r="G104">
        <v>3</v>
      </c>
      <c r="H104">
        <v>1</v>
      </c>
      <c r="I104">
        <v>2</v>
      </c>
      <c r="J104">
        <v>16.912500000000001</v>
      </c>
      <c r="K104">
        <v>20.864149999999999</v>
      </c>
      <c r="L104">
        <v>81.916700000000006</v>
      </c>
      <c r="M104">
        <v>16.791339000000001</v>
      </c>
      <c r="N104">
        <v>209</v>
      </c>
      <c r="O104">
        <v>1953</v>
      </c>
      <c r="P104">
        <v>2162</v>
      </c>
    </row>
    <row r="105" spans="1:16" x14ac:dyDescent="0.3">
      <c r="A105">
        <v>104</v>
      </c>
      <c r="B105" t="s">
        <v>71</v>
      </c>
      <c r="C105">
        <v>2</v>
      </c>
      <c r="D105">
        <v>0</v>
      </c>
      <c r="E105">
        <v>4</v>
      </c>
      <c r="F105">
        <v>0</v>
      </c>
      <c r="G105">
        <v>4</v>
      </c>
      <c r="H105">
        <v>1</v>
      </c>
      <c r="I105">
        <v>1</v>
      </c>
      <c r="J105">
        <v>19.1675</v>
      </c>
      <c r="K105">
        <v>23.1371</v>
      </c>
      <c r="L105">
        <v>54.041699999999999</v>
      </c>
      <c r="M105">
        <v>7.4169</v>
      </c>
      <c r="N105">
        <v>529</v>
      </c>
      <c r="O105">
        <v>2738</v>
      </c>
      <c r="P105">
        <v>3267</v>
      </c>
    </row>
    <row r="106" spans="1:16" x14ac:dyDescent="0.3">
      <c r="A106">
        <v>105</v>
      </c>
      <c r="B106" t="s">
        <v>72</v>
      </c>
      <c r="C106">
        <v>2</v>
      </c>
      <c r="D106">
        <v>0</v>
      </c>
      <c r="E106">
        <v>4</v>
      </c>
      <c r="F106">
        <v>1</v>
      </c>
      <c r="G106">
        <v>5</v>
      </c>
      <c r="H106">
        <v>0</v>
      </c>
      <c r="I106">
        <v>1</v>
      </c>
      <c r="J106">
        <v>18.313347</v>
      </c>
      <c r="K106">
        <v>22.095649999999999</v>
      </c>
      <c r="L106">
        <v>67.125</v>
      </c>
      <c r="M106">
        <v>15.167125</v>
      </c>
      <c r="N106">
        <v>642</v>
      </c>
      <c r="O106">
        <v>2484</v>
      </c>
      <c r="P106">
        <v>3126</v>
      </c>
    </row>
    <row r="107" spans="1:16" x14ac:dyDescent="0.3">
      <c r="A107">
        <v>106</v>
      </c>
      <c r="B107" t="s">
        <v>73</v>
      </c>
      <c r="C107">
        <v>2</v>
      </c>
      <c r="D107">
        <v>0</v>
      </c>
      <c r="E107">
        <v>4</v>
      </c>
      <c r="F107">
        <v>0</v>
      </c>
      <c r="G107">
        <v>6</v>
      </c>
      <c r="H107">
        <v>0</v>
      </c>
      <c r="I107">
        <v>3</v>
      </c>
      <c r="J107">
        <v>17.664152999999999</v>
      </c>
      <c r="K107">
        <v>21.2746</v>
      </c>
      <c r="L107">
        <v>88.833299999999994</v>
      </c>
      <c r="M107">
        <v>22.834136000000001</v>
      </c>
      <c r="N107">
        <v>121</v>
      </c>
      <c r="O107">
        <v>674</v>
      </c>
      <c r="P107">
        <v>795</v>
      </c>
    </row>
    <row r="108" spans="1:16" x14ac:dyDescent="0.3">
      <c r="A108">
        <v>107</v>
      </c>
      <c r="B108" t="s">
        <v>74</v>
      </c>
      <c r="C108">
        <v>2</v>
      </c>
      <c r="D108">
        <v>0</v>
      </c>
      <c r="E108">
        <v>4</v>
      </c>
      <c r="F108">
        <v>0</v>
      </c>
      <c r="G108">
        <v>0</v>
      </c>
      <c r="H108">
        <v>0</v>
      </c>
      <c r="I108">
        <v>1</v>
      </c>
      <c r="J108">
        <v>18.723347</v>
      </c>
      <c r="K108">
        <v>22.284800000000001</v>
      </c>
      <c r="L108">
        <v>47.958300000000001</v>
      </c>
      <c r="M108">
        <v>20.334232</v>
      </c>
      <c r="N108">
        <v>1558</v>
      </c>
      <c r="O108">
        <v>2186</v>
      </c>
      <c r="P108">
        <v>3744</v>
      </c>
    </row>
    <row r="109" spans="1:16" x14ac:dyDescent="0.3">
      <c r="A109">
        <v>108</v>
      </c>
      <c r="B109" t="s">
        <v>75</v>
      </c>
      <c r="C109">
        <v>2</v>
      </c>
      <c r="D109">
        <v>0</v>
      </c>
      <c r="E109">
        <v>4</v>
      </c>
      <c r="F109">
        <v>0</v>
      </c>
      <c r="G109">
        <v>1</v>
      </c>
      <c r="H109">
        <v>1</v>
      </c>
      <c r="I109">
        <v>1</v>
      </c>
      <c r="J109">
        <v>21.012499999999999</v>
      </c>
      <c r="K109">
        <v>25.157299999999999</v>
      </c>
      <c r="L109">
        <v>54.25</v>
      </c>
      <c r="M109">
        <v>10.958989000000001</v>
      </c>
      <c r="N109">
        <v>669</v>
      </c>
      <c r="O109">
        <v>2760</v>
      </c>
      <c r="P109">
        <v>3429</v>
      </c>
    </row>
    <row r="110" spans="1:16" x14ac:dyDescent="0.3">
      <c r="A110">
        <v>109</v>
      </c>
      <c r="B110" t="s">
        <v>76</v>
      </c>
      <c r="C110">
        <v>2</v>
      </c>
      <c r="D110">
        <v>0</v>
      </c>
      <c r="E110">
        <v>4</v>
      </c>
      <c r="F110">
        <v>0</v>
      </c>
      <c r="G110">
        <v>2</v>
      </c>
      <c r="H110">
        <v>1</v>
      </c>
      <c r="I110">
        <v>2</v>
      </c>
      <c r="J110">
        <v>20.739153000000002</v>
      </c>
      <c r="K110">
        <v>24.462900000000001</v>
      </c>
      <c r="L110">
        <v>66.583299999999994</v>
      </c>
      <c r="M110">
        <v>10.584057</v>
      </c>
      <c r="N110">
        <v>409</v>
      </c>
      <c r="O110">
        <v>2795</v>
      </c>
      <c r="P110">
        <v>3204</v>
      </c>
    </row>
    <row r="111" spans="1:16" x14ac:dyDescent="0.3">
      <c r="A111">
        <v>110</v>
      </c>
      <c r="B111" t="s">
        <v>77</v>
      </c>
      <c r="C111">
        <v>2</v>
      </c>
      <c r="D111">
        <v>0</v>
      </c>
      <c r="E111">
        <v>4</v>
      </c>
      <c r="F111">
        <v>0</v>
      </c>
      <c r="G111">
        <v>3</v>
      </c>
      <c r="H111">
        <v>1</v>
      </c>
      <c r="I111">
        <v>1</v>
      </c>
      <c r="J111">
        <v>24.395</v>
      </c>
      <c r="K111">
        <v>28.2196</v>
      </c>
      <c r="L111">
        <v>61.416699999999999</v>
      </c>
      <c r="M111">
        <v>16.208974999999999</v>
      </c>
      <c r="N111">
        <v>613</v>
      </c>
      <c r="O111">
        <v>3331</v>
      </c>
      <c r="P111">
        <v>3944</v>
      </c>
    </row>
    <row r="112" spans="1:16" x14ac:dyDescent="0.3">
      <c r="A112">
        <v>111</v>
      </c>
      <c r="B112" t="s">
        <v>78</v>
      </c>
      <c r="C112">
        <v>2</v>
      </c>
      <c r="D112">
        <v>0</v>
      </c>
      <c r="E112">
        <v>4</v>
      </c>
      <c r="F112">
        <v>0</v>
      </c>
      <c r="G112">
        <v>4</v>
      </c>
      <c r="H112">
        <v>1</v>
      </c>
      <c r="I112">
        <v>1</v>
      </c>
      <c r="J112">
        <v>18.825847</v>
      </c>
      <c r="K112">
        <v>22.694600000000001</v>
      </c>
      <c r="L112">
        <v>40.708300000000001</v>
      </c>
      <c r="M112">
        <v>21.792286000000001</v>
      </c>
      <c r="N112">
        <v>745</v>
      </c>
      <c r="O112">
        <v>3444</v>
      </c>
      <c r="P112">
        <v>4189</v>
      </c>
    </row>
    <row r="113" spans="1:16" x14ac:dyDescent="0.3">
      <c r="A113">
        <v>112</v>
      </c>
      <c r="B113" t="s">
        <v>79</v>
      </c>
      <c r="C113">
        <v>2</v>
      </c>
      <c r="D113">
        <v>0</v>
      </c>
      <c r="E113">
        <v>4</v>
      </c>
      <c r="F113">
        <v>0</v>
      </c>
      <c r="G113">
        <v>5</v>
      </c>
      <c r="H113">
        <v>1</v>
      </c>
      <c r="I113">
        <v>2</v>
      </c>
      <c r="J113">
        <v>13.803347</v>
      </c>
      <c r="K113">
        <v>16.0977</v>
      </c>
      <c r="L113">
        <v>72.958299999999994</v>
      </c>
      <c r="M113">
        <v>14.707907000000001</v>
      </c>
      <c r="N113">
        <v>177</v>
      </c>
      <c r="O113">
        <v>1506</v>
      </c>
      <c r="P113">
        <v>1683</v>
      </c>
    </row>
    <row r="114" spans="1:16" x14ac:dyDescent="0.3">
      <c r="A114">
        <v>113</v>
      </c>
      <c r="B114" t="s">
        <v>80</v>
      </c>
      <c r="C114">
        <v>2</v>
      </c>
      <c r="D114">
        <v>0</v>
      </c>
      <c r="E114">
        <v>4</v>
      </c>
      <c r="F114">
        <v>0</v>
      </c>
      <c r="G114">
        <v>6</v>
      </c>
      <c r="H114">
        <v>0</v>
      </c>
      <c r="I114">
        <v>2</v>
      </c>
      <c r="J114">
        <v>18.86</v>
      </c>
      <c r="K114">
        <v>22.506049999999998</v>
      </c>
      <c r="L114">
        <v>88.791700000000006</v>
      </c>
      <c r="M114">
        <v>15.458575</v>
      </c>
      <c r="N114">
        <v>1462</v>
      </c>
      <c r="O114">
        <v>2574</v>
      </c>
      <c r="P114">
        <v>4036</v>
      </c>
    </row>
    <row r="115" spans="1:16" x14ac:dyDescent="0.3">
      <c r="A115">
        <v>114</v>
      </c>
      <c r="B115" t="s">
        <v>81</v>
      </c>
      <c r="C115">
        <v>2</v>
      </c>
      <c r="D115">
        <v>0</v>
      </c>
      <c r="E115">
        <v>4</v>
      </c>
      <c r="F115">
        <v>0</v>
      </c>
      <c r="G115">
        <v>0</v>
      </c>
      <c r="H115">
        <v>0</v>
      </c>
      <c r="I115">
        <v>2</v>
      </c>
      <c r="J115">
        <v>23.848347</v>
      </c>
      <c r="K115">
        <v>27.588149999999999</v>
      </c>
      <c r="L115">
        <v>81.083299999999994</v>
      </c>
      <c r="M115">
        <v>12.875724999999999</v>
      </c>
      <c r="N115">
        <v>1710</v>
      </c>
      <c r="O115">
        <v>2481</v>
      </c>
      <c r="P115">
        <v>4191</v>
      </c>
    </row>
    <row r="116" spans="1:16" x14ac:dyDescent="0.3">
      <c r="A116">
        <v>115</v>
      </c>
      <c r="B116" t="s">
        <v>82</v>
      </c>
      <c r="C116">
        <v>2</v>
      </c>
      <c r="D116">
        <v>0</v>
      </c>
      <c r="E116">
        <v>4</v>
      </c>
      <c r="F116">
        <v>0</v>
      </c>
      <c r="G116">
        <v>1</v>
      </c>
      <c r="H116">
        <v>1</v>
      </c>
      <c r="I116">
        <v>1</v>
      </c>
      <c r="J116">
        <v>24.873346999999999</v>
      </c>
      <c r="K116">
        <v>28.725000000000001</v>
      </c>
      <c r="L116">
        <v>77.666700000000006</v>
      </c>
      <c r="M116">
        <v>12.417311</v>
      </c>
      <c r="N116">
        <v>773</v>
      </c>
      <c r="O116">
        <v>3300</v>
      </c>
      <c r="P116">
        <v>4073</v>
      </c>
    </row>
    <row r="117" spans="1:16" x14ac:dyDescent="0.3">
      <c r="A117">
        <v>116</v>
      </c>
      <c r="B117" t="s">
        <v>83</v>
      </c>
      <c r="C117">
        <v>2</v>
      </c>
      <c r="D117">
        <v>0</v>
      </c>
      <c r="E117">
        <v>4</v>
      </c>
      <c r="F117">
        <v>0</v>
      </c>
      <c r="G117">
        <v>2</v>
      </c>
      <c r="H117">
        <v>1</v>
      </c>
      <c r="I117">
        <v>1</v>
      </c>
      <c r="J117">
        <v>25.898347000000001</v>
      </c>
      <c r="K117">
        <v>29.704149999999998</v>
      </c>
      <c r="L117">
        <v>72.916700000000006</v>
      </c>
      <c r="M117">
        <v>21.875499999999999</v>
      </c>
      <c r="N117">
        <v>678</v>
      </c>
      <c r="O117">
        <v>3722</v>
      </c>
      <c r="P117">
        <v>4400</v>
      </c>
    </row>
    <row r="118" spans="1:16" x14ac:dyDescent="0.3">
      <c r="A118">
        <v>117</v>
      </c>
      <c r="B118" t="s">
        <v>84</v>
      </c>
      <c r="C118">
        <v>2</v>
      </c>
      <c r="D118">
        <v>0</v>
      </c>
      <c r="E118">
        <v>4</v>
      </c>
      <c r="F118">
        <v>0</v>
      </c>
      <c r="G118">
        <v>3</v>
      </c>
      <c r="H118">
        <v>1</v>
      </c>
      <c r="I118">
        <v>2</v>
      </c>
      <c r="J118">
        <v>25.42</v>
      </c>
      <c r="K118">
        <v>28.757100000000001</v>
      </c>
      <c r="L118">
        <v>83.541700000000006</v>
      </c>
      <c r="M118">
        <v>20.917400000000001</v>
      </c>
      <c r="N118">
        <v>547</v>
      </c>
      <c r="O118">
        <v>3325</v>
      </c>
      <c r="P118">
        <v>3872</v>
      </c>
    </row>
    <row r="119" spans="1:16" x14ac:dyDescent="0.3">
      <c r="A119">
        <v>118</v>
      </c>
      <c r="B119" t="s">
        <v>85</v>
      </c>
      <c r="C119">
        <v>2</v>
      </c>
      <c r="D119">
        <v>0</v>
      </c>
      <c r="E119">
        <v>4</v>
      </c>
      <c r="F119">
        <v>0</v>
      </c>
      <c r="G119">
        <v>4</v>
      </c>
      <c r="H119">
        <v>1</v>
      </c>
      <c r="I119">
        <v>2</v>
      </c>
      <c r="J119">
        <v>25.317499999999999</v>
      </c>
      <c r="K119">
        <v>28.946449999999999</v>
      </c>
      <c r="L119">
        <v>70.083299999999994</v>
      </c>
      <c r="M119">
        <v>21.500836</v>
      </c>
      <c r="N119">
        <v>569</v>
      </c>
      <c r="O119">
        <v>3489</v>
      </c>
      <c r="P119">
        <v>4058</v>
      </c>
    </row>
    <row r="120" spans="1:16" x14ac:dyDescent="0.3">
      <c r="A120">
        <v>119</v>
      </c>
      <c r="B120" t="s">
        <v>86</v>
      </c>
      <c r="C120">
        <v>2</v>
      </c>
      <c r="D120">
        <v>0</v>
      </c>
      <c r="E120">
        <v>4</v>
      </c>
      <c r="F120">
        <v>0</v>
      </c>
      <c r="G120">
        <v>5</v>
      </c>
      <c r="H120">
        <v>1</v>
      </c>
      <c r="I120">
        <v>1</v>
      </c>
      <c r="J120">
        <v>20.91</v>
      </c>
      <c r="K120">
        <v>24.873149999999999</v>
      </c>
      <c r="L120">
        <v>45.708300000000001</v>
      </c>
      <c r="M120">
        <v>16.084220999999999</v>
      </c>
      <c r="N120">
        <v>878</v>
      </c>
      <c r="O120">
        <v>3717</v>
      </c>
      <c r="P120">
        <v>4595</v>
      </c>
    </row>
    <row r="121" spans="1:16" x14ac:dyDescent="0.3">
      <c r="A121">
        <v>120</v>
      </c>
      <c r="B121" t="s">
        <v>87</v>
      </c>
      <c r="C121">
        <v>2</v>
      </c>
      <c r="D121">
        <v>0</v>
      </c>
      <c r="E121">
        <v>4</v>
      </c>
      <c r="F121">
        <v>0</v>
      </c>
      <c r="G121">
        <v>6</v>
      </c>
      <c r="H121">
        <v>0</v>
      </c>
      <c r="I121">
        <v>1</v>
      </c>
      <c r="J121">
        <v>19.372499999999999</v>
      </c>
      <c r="K121">
        <v>23.201049999999999</v>
      </c>
      <c r="L121">
        <v>50.333300000000001</v>
      </c>
      <c r="M121">
        <v>15.750025000000001</v>
      </c>
      <c r="N121">
        <v>1965</v>
      </c>
      <c r="O121">
        <v>3347</v>
      </c>
      <c r="P121">
        <v>5312</v>
      </c>
    </row>
    <row r="122" spans="1:16" x14ac:dyDescent="0.3">
      <c r="A122">
        <v>121</v>
      </c>
      <c r="B122" s="1">
        <v>43105</v>
      </c>
      <c r="C122">
        <v>2</v>
      </c>
      <c r="D122">
        <v>0</v>
      </c>
      <c r="E122">
        <v>5</v>
      </c>
      <c r="F122">
        <v>0</v>
      </c>
      <c r="G122">
        <v>0</v>
      </c>
      <c r="H122">
        <v>0</v>
      </c>
      <c r="I122">
        <v>2</v>
      </c>
      <c r="J122">
        <v>18.518346999999999</v>
      </c>
      <c r="K122">
        <v>22.4102</v>
      </c>
      <c r="L122">
        <v>76.208299999999994</v>
      </c>
      <c r="M122">
        <v>7.125718</v>
      </c>
      <c r="N122">
        <v>1138</v>
      </c>
      <c r="O122">
        <v>2213</v>
      </c>
      <c r="P122">
        <v>3351</v>
      </c>
    </row>
    <row r="123" spans="1:16" x14ac:dyDescent="0.3">
      <c r="A123">
        <v>122</v>
      </c>
      <c r="B123" s="1">
        <v>43136</v>
      </c>
      <c r="C123">
        <v>2</v>
      </c>
      <c r="D123">
        <v>0</v>
      </c>
      <c r="E123">
        <v>5</v>
      </c>
      <c r="F123">
        <v>0</v>
      </c>
      <c r="G123">
        <v>1</v>
      </c>
      <c r="H123">
        <v>1</v>
      </c>
      <c r="I123">
        <v>2</v>
      </c>
      <c r="J123">
        <v>22.515847000000001</v>
      </c>
      <c r="K123">
        <v>26.641649999999998</v>
      </c>
      <c r="L123">
        <v>73</v>
      </c>
      <c r="M123">
        <v>12.291418</v>
      </c>
      <c r="N123">
        <v>847</v>
      </c>
      <c r="O123">
        <v>3554</v>
      </c>
      <c r="P123">
        <v>4401</v>
      </c>
    </row>
    <row r="124" spans="1:16" x14ac:dyDescent="0.3">
      <c r="A124">
        <v>123</v>
      </c>
      <c r="B124" s="1">
        <v>43164</v>
      </c>
      <c r="C124">
        <v>2</v>
      </c>
      <c r="D124">
        <v>0</v>
      </c>
      <c r="E124">
        <v>5</v>
      </c>
      <c r="F124">
        <v>0</v>
      </c>
      <c r="G124">
        <v>2</v>
      </c>
      <c r="H124">
        <v>1</v>
      </c>
      <c r="I124">
        <v>2</v>
      </c>
      <c r="J124">
        <v>25.283346999999999</v>
      </c>
      <c r="K124">
        <v>29.103950000000001</v>
      </c>
      <c r="L124">
        <v>69.708299999999994</v>
      </c>
      <c r="M124">
        <v>22.958689</v>
      </c>
      <c r="N124">
        <v>603</v>
      </c>
      <c r="O124">
        <v>3848</v>
      </c>
      <c r="P124">
        <v>4451</v>
      </c>
    </row>
    <row r="125" spans="1:16" x14ac:dyDescent="0.3">
      <c r="A125">
        <v>124</v>
      </c>
      <c r="B125" s="1">
        <v>43195</v>
      </c>
      <c r="C125">
        <v>2</v>
      </c>
      <c r="D125">
        <v>0</v>
      </c>
      <c r="E125">
        <v>5</v>
      </c>
      <c r="F125">
        <v>0</v>
      </c>
      <c r="G125">
        <v>3</v>
      </c>
      <c r="H125">
        <v>1</v>
      </c>
      <c r="I125">
        <v>2</v>
      </c>
      <c r="J125">
        <v>16.980847000000001</v>
      </c>
      <c r="K125">
        <v>20.232500000000002</v>
      </c>
      <c r="L125">
        <v>73.708299999999994</v>
      </c>
      <c r="M125">
        <v>22.042732000000001</v>
      </c>
      <c r="N125">
        <v>255</v>
      </c>
      <c r="O125">
        <v>2378</v>
      </c>
      <c r="P125">
        <v>2633</v>
      </c>
    </row>
    <row r="126" spans="1:16" x14ac:dyDescent="0.3">
      <c r="A126">
        <v>125</v>
      </c>
      <c r="B126" s="1">
        <v>43225</v>
      </c>
      <c r="C126">
        <v>2</v>
      </c>
      <c r="D126">
        <v>0</v>
      </c>
      <c r="E126">
        <v>5</v>
      </c>
      <c r="F126">
        <v>0</v>
      </c>
      <c r="G126">
        <v>4</v>
      </c>
      <c r="H126">
        <v>1</v>
      </c>
      <c r="I126">
        <v>1</v>
      </c>
      <c r="J126">
        <v>18.825847</v>
      </c>
      <c r="K126">
        <v>22.095849999999999</v>
      </c>
      <c r="L126">
        <v>44.416699999999999</v>
      </c>
      <c r="M126">
        <v>19.791264000000002</v>
      </c>
      <c r="N126">
        <v>614</v>
      </c>
      <c r="O126">
        <v>3819</v>
      </c>
      <c r="P126">
        <v>4433</v>
      </c>
    </row>
    <row r="127" spans="1:16" x14ac:dyDescent="0.3">
      <c r="A127">
        <v>126</v>
      </c>
      <c r="B127" s="1">
        <v>43256</v>
      </c>
      <c r="C127">
        <v>2</v>
      </c>
      <c r="D127">
        <v>0</v>
      </c>
      <c r="E127">
        <v>5</v>
      </c>
      <c r="F127">
        <v>0</v>
      </c>
      <c r="G127">
        <v>5</v>
      </c>
      <c r="H127">
        <v>1</v>
      </c>
      <c r="I127">
        <v>1</v>
      </c>
      <c r="J127">
        <v>19.645847</v>
      </c>
      <c r="K127">
        <v>23.705850000000002</v>
      </c>
      <c r="L127">
        <v>59</v>
      </c>
      <c r="M127">
        <v>15.292482</v>
      </c>
      <c r="N127">
        <v>894</v>
      </c>
      <c r="O127">
        <v>3714</v>
      </c>
      <c r="P127">
        <v>4608</v>
      </c>
    </row>
    <row r="128" spans="1:16" x14ac:dyDescent="0.3">
      <c r="A128">
        <v>127</v>
      </c>
      <c r="B128" s="1">
        <v>43286</v>
      </c>
      <c r="C128">
        <v>2</v>
      </c>
      <c r="D128">
        <v>0</v>
      </c>
      <c r="E128">
        <v>5</v>
      </c>
      <c r="F128">
        <v>0</v>
      </c>
      <c r="G128">
        <v>6</v>
      </c>
      <c r="H128">
        <v>0</v>
      </c>
      <c r="I128">
        <v>1</v>
      </c>
      <c r="J128">
        <v>21.32</v>
      </c>
      <c r="K128">
        <v>25.631049999999998</v>
      </c>
      <c r="L128">
        <v>54.125</v>
      </c>
      <c r="M128">
        <v>10.75015</v>
      </c>
      <c r="N128">
        <v>1612</v>
      </c>
      <c r="O128">
        <v>3102</v>
      </c>
      <c r="P128">
        <v>4714</v>
      </c>
    </row>
    <row r="129" spans="1:16" x14ac:dyDescent="0.3">
      <c r="A129">
        <v>128</v>
      </c>
      <c r="B129" s="1">
        <v>43317</v>
      </c>
      <c r="C129">
        <v>2</v>
      </c>
      <c r="D129">
        <v>0</v>
      </c>
      <c r="E129">
        <v>5</v>
      </c>
      <c r="F129">
        <v>0</v>
      </c>
      <c r="G129">
        <v>0</v>
      </c>
      <c r="H129">
        <v>0</v>
      </c>
      <c r="I129">
        <v>1</v>
      </c>
      <c r="J129">
        <v>21.661653000000001</v>
      </c>
      <c r="K129">
        <v>25.946650000000002</v>
      </c>
      <c r="L129">
        <v>63.166699999999999</v>
      </c>
      <c r="M129">
        <v>5.0007124999999997</v>
      </c>
      <c r="N129">
        <v>1401</v>
      </c>
      <c r="O129">
        <v>2932</v>
      </c>
      <c r="P129">
        <v>4333</v>
      </c>
    </row>
    <row r="130" spans="1:16" x14ac:dyDescent="0.3">
      <c r="A130">
        <v>129</v>
      </c>
      <c r="B130" s="1">
        <v>43348</v>
      </c>
      <c r="C130">
        <v>2</v>
      </c>
      <c r="D130">
        <v>0</v>
      </c>
      <c r="E130">
        <v>5</v>
      </c>
      <c r="F130">
        <v>0</v>
      </c>
      <c r="G130">
        <v>1</v>
      </c>
      <c r="H130">
        <v>1</v>
      </c>
      <c r="I130">
        <v>1</v>
      </c>
      <c r="J130">
        <v>21.8325</v>
      </c>
      <c r="K130">
        <v>26.2623</v>
      </c>
      <c r="L130">
        <v>58.875</v>
      </c>
      <c r="M130">
        <v>11.792</v>
      </c>
      <c r="N130">
        <v>664</v>
      </c>
      <c r="O130">
        <v>3698</v>
      </c>
      <c r="P130">
        <v>4362</v>
      </c>
    </row>
    <row r="131" spans="1:16" x14ac:dyDescent="0.3">
      <c r="A131">
        <v>130</v>
      </c>
      <c r="B131" s="1">
        <v>43378</v>
      </c>
      <c r="C131">
        <v>2</v>
      </c>
      <c r="D131">
        <v>0</v>
      </c>
      <c r="E131">
        <v>5</v>
      </c>
      <c r="F131">
        <v>0</v>
      </c>
      <c r="G131">
        <v>2</v>
      </c>
      <c r="H131">
        <v>1</v>
      </c>
      <c r="I131">
        <v>1</v>
      </c>
      <c r="J131">
        <v>21.8325</v>
      </c>
      <c r="K131">
        <v>26.136050000000001</v>
      </c>
      <c r="L131">
        <v>48.916699999999999</v>
      </c>
      <c r="M131">
        <v>7.7499570000000002</v>
      </c>
      <c r="N131">
        <v>694</v>
      </c>
      <c r="O131">
        <v>4109</v>
      </c>
      <c r="P131">
        <v>4803</v>
      </c>
    </row>
    <row r="132" spans="1:16" x14ac:dyDescent="0.3">
      <c r="A132">
        <v>131</v>
      </c>
      <c r="B132" s="1">
        <v>43409</v>
      </c>
      <c r="C132">
        <v>2</v>
      </c>
      <c r="D132">
        <v>0</v>
      </c>
      <c r="E132">
        <v>5</v>
      </c>
      <c r="F132">
        <v>0</v>
      </c>
      <c r="G132">
        <v>3</v>
      </c>
      <c r="H132">
        <v>1</v>
      </c>
      <c r="I132">
        <v>1</v>
      </c>
      <c r="J132">
        <v>22.2425</v>
      </c>
      <c r="K132">
        <v>26.42</v>
      </c>
      <c r="L132">
        <v>63.291699999999999</v>
      </c>
      <c r="M132">
        <v>8.0830140000000004</v>
      </c>
      <c r="N132">
        <v>550</v>
      </c>
      <c r="O132">
        <v>3632</v>
      </c>
      <c r="P132">
        <v>4182</v>
      </c>
    </row>
    <row r="133" spans="1:16" x14ac:dyDescent="0.3">
      <c r="A133">
        <v>132</v>
      </c>
      <c r="B133" s="1">
        <v>43439</v>
      </c>
      <c r="C133">
        <v>2</v>
      </c>
      <c r="D133">
        <v>0</v>
      </c>
      <c r="E133">
        <v>5</v>
      </c>
      <c r="F133">
        <v>0</v>
      </c>
      <c r="G133">
        <v>4</v>
      </c>
      <c r="H133">
        <v>1</v>
      </c>
      <c r="I133">
        <v>1</v>
      </c>
      <c r="J133">
        <v>21.934999999999999</v>
      </c>
      <c r="K133">
        <v>26.168150000000001</v>
      </c>
      <c r="L133">
        <v>74.75</v>
      </c>
      <c r="M133">
        <v>12.707689</v>
      </c>
      <c r="N133">
        <v>695</v>
      </c>
      <c r="O133">
        <v>4169</v>
      </c>
      <c r="P133">
        <v>4864</v>
      </c>
    </row>
    <row r="134" spans="1:16" x14ac:dyDescent="0.3">
      <c r="A134">
        <v>133</v>
      </c>
      <c r="B134" t="s">
        <v>88</v>
      </c>
      <c r="C134">
        <v>2</v>
      </c>
      <c r="D134">
        <v>0</v>
      </c>
      <c r="E134">
        <v>5</v>
      </c>
      <c r="F134">
        <v>0</v>
      </c>
      <c r="G134">
        <v>5</v>
      </c>
      <c r="H134">
        <v>1</v>
      </c>
      <c r="I134">
        <v>2</v>
      </c>
      <c r="J134">
        <v>21.012499999999999</v>
      </c>
      <c r="K134">
        <v>24.715</v>
      </c>
      <c r="L134">
        <v>86.333299999999994</v>
      </c>
      <c r="M134">
        <v>12.041575</v>
      </c>
      <c r="N134">
        <v>692</v>
      </c>
      <c r="O134">
        <v>3413</v>
      </c>
      <c r="P134">
        <v>4105</v>
      </c>
    </row>
    <row r="135" spans="1:16" x14ac:dyDescent="0.3">
      <c r="A135">
        <v>134</v>
      </c>
      <c r="B135" t="s">
        <v>89</v>
      </c>
      <c r="C135">
        <v>2</v>
      </c>
      <c r="D135">
        <v>0</v>
      </c>
      <c r="E135">
        <v>5</v>
      </c>
      <c r="F135">
        <v>0</v>
      </c>
      <c r="G135">
        <v>6</v>
      </c>
      <c r="H135">
        <v>0</v>
      </c>
      <c r="I135">
        <v>2</v>
      </c>
      <c r="J135">
        <v>21.354153</v>
      </c>
      <c r="K135">
        <v>25.03145</v>
      </c>
      <c r="L135">
        <v>92.25</v>
      </c>
      <c r="M135">
        <v>9.0416500000000006</v>
      </c>
      <c r="N135">
        <v>902</v>
      </c>
      <c r="O135">
        <v>2507</v>
      </c>
      <c r="P135">
        <v>3409</v>
      </c>
    </row>
    <row r="136" spans="1:16" x14ac:dyDescent="0.3">
      <c r="A136">
        <v>135</v>
      </c>
      <c r="B136" t="s">
        <v>90</v>
      </c>
      <c r="C136">
        <v>2</v>
      </c>
      <c r="D136">
        <v>0</v>
      </c>
      <c r="E136">
        <v>5</v>
      </c>
      <c r="F136">
        <v>0</v>
      </c>
      <c r="G136">
        <v>0</v>
      </c>
      <c r="H136">
        <v>0</v>
      </c>
      <c r="I136">
        <v>2</v>
      </c>
      <c r="J136">
        <v>23.0625</v>
      </c>
      <c r="K136">
        <v>26.8</v>
      </c>
      <c r="L136">
        <v>86.708299999999994</v>
      </c>
      <c r="M136">
        <v>10.249593000000001</v>
      </c>
      <c r="N136">
        <v>1582</v>
      </c>
      <c r="O136">
        <v>2971</v>
      </c>
      <c r="P136">
        <v>4553</v>
      </c>
    </row>
    <row r="137" spans="1:16" x14ac:dyDescent="0.3">
      <c r="A137">
        <v>136</v>
      </c>
      <c r="B137" t="s">
        <v>91</v>
      </c>
      <c r="C137">
        <v>2</v>
      </c>
      <c r="D137">
        <v>0</v>
      </c>
      <c r="E137">
        <v>5</v>
      </c>
      <c r="F137">
        <v>0</v>
      </c>
      <c r="G137">
        <v>1</v>
      </c>
      <c r="H137">
        <v>1</v>
      </c>
      <c r="I137">
        <v>1</v>
      </c>
      <c r="J137">
        <v>23.677499999999998</v>
      </c>
      <c r="K137">
        <v>27.525600000000001</v>
      </c>
      <c r="L137">
        <v>78.791700000000006</v>
      </c>
      <c r="M137">
        <v>8.5003569999999993</v>
      </c>
      <c r="N137">
        <v>773</v>
      </c>
      <c r="O137">
        <v>3185</v>
      </c>
      <c r="P137">
        <v>3958</v>
      </c>
    </row>
    <row r="138" spans="1:16" x14ac:dyDescent="0.3">
      <c r="A138">
        <v>137</v>
      </c>
      <c r="B138" t="s">
        <v>92</v>
      </c>
      <c r="C138">
        <v>2</v>
      </c>
      <c r="D138">
        <v>0</v>
      </c>
      <c r="E138">
        <v>5</v>
      </c>
      <c r="F138">
        <v>0</v>
      </c>
      <c r="G138">
        <v>2</v>
      </c>
      <c r="H138">
        <v>1</v>
      </c>
      <c r="I138">
        <v>2</v>
      </c>
      <c r="J138">
        <v>23.028347</v>
      </c>
      <c r="K138">
        <v>26.926449999999999</v>
      </c>
      <c r="L138">
        <v>83.791700000000006</v>
      </c>
      <c r="M138">
        <v>18.582718</v>
      </c>
      <c r="N138">
        <v>678</v>
      </c>
      <c r="O138">
        <v>3445</v>
      </c>
      <c r="P138">
        <v>4123</v>
      </c>
    </row>
    <row r="139" spans="1:16" x14ac:dyDescent="0.3">
      <c r="A139">
        <v>138</v>
      </c>
      <c r="B139" t="s">
        <v>93</v>
      </c>
      <c r="C139">
        <v>2</v>
      </c>
      <c r="D139">
        <v>0</v>
      </c>
      <c r="E139">
        <v>5</v>
      </c>
      <c r="F139">
        <v>0</v>
      </c>
      <c r="G139">
        <v>3</v>
      </c>
      <c r="H139">
        <v>1</v>
      </c>
      <c r="I139">
        <v>2</v>
      </c>
      <c r="J139">
        <v>22.55</v>
      </c>
      <c r="K139">
        <v>26.357900000000001</v>
      </c>
      <c r="L139">
        <v>87</v>
      </c>
      <c r="M139">
        <v>13.499964</v>
      </c>
      <c r="N139">
        <v>536</v>
      </c>
      <c r="O139">
        <v>3319</v>
      </c>
      <c r="P139">
        <v>3855</v>
      </c>
    </row>
    <row r="140" spans="1:16" x14ac:dyDescent="0.3">
      <c r="A140">
        <v>139</v>
      </c>
      <c r="B140" t="s">
        <v>94</v>
      </c>
      <c r="C140">
        <v>2</v>
      </c>
      <c r="D140">
        <v>0</v>
      </c>
      <c r="E140">
        <v>5</v>
      </c>
      <c r="F140">
        <v>0</v>
      </c>
      <c r="G140">
        <v>4</v>
      </c>
      <c r="H140">
        <v>1</v>
      </c>
      <c r="I140">
        <v>2</v>
      </c>
      <c r="J140">
        <v>21.764153</v>
      </c>
      <c r="K140">
        <v>25.537099999999999</v>
      </c>
      <c r="L140">
        <v>82.958299999999994</v>
      </c>
      <c r="M140">
        <v>7.2502709999999997</v>
      </c>
      <c r="N140">
        <v>735</v>
      </c>
      <c r="O140">
        <v>3840</v>
      </c>
      <c r="P140">
        <v>4575</v>
      </c>
    </row>
    <row r="141" spans="1:16" x14ac:dyDescent="0.3">
      <c r="A141">
        <v>140</v>
      </c>
      <c r="B141" t="s">
        <v>95</v>
      </c>
      <c r="C141">
        <v>2</v>
      </c>
      <c r="D141">
        <v>0</v>
      </c>
      <c r="E141">
        <v>5</v>
      </c>
      <c r="F141">
        <v>0</v>
      </c>
      <c r="G141">
        <v>5</v>
      </c>
      <c r="H141">
        <v>1</v>
      </c>
      <c r="I141">
        <v>1</v>
      </c>
      <c r="J141">
        <v>22.003347000000002</v>
      </c>
      <c r="K141">
        <v>26.452100000000002</v>
      </c>
      <c r="L141">
        <v>71.958299999999994</v>
      </c>
      <c r="M141">
        <v>8.3758710000000001</v>
      </c>
      <c r="N141">
        <v>909</v>
      </c>
      <c r="O141">
        <v>4008</v>
      </c>
      <c r="P141">
        <v>4917</v>
      </c>
    </row>
    <row r="142" spans="1:16" x14ac:dyDescent="0.3">
      <c r="A142">
        <v>141</v>
      </c>
      <c r="B142" t="s">
        <v>96</v>
      </c>
      <c r="C142">
        <v>2</v>
      </c>
      <c r="D142">
        <v>0</v>
      </c>
      <c r="E142">
        <v>5</v>
      </c>
      <c r="F142">
        <v>0</v>
      </c>
      <c r="G142">
        <v>6</v>
      </c>
      <c r="H142">
        <v>0</v>
      </c>
      <c r="I142">
        <v>1</v>
      </c>
      <c r="J142">
        <v>24.702500000000001</v>
      </c>
      <c r="K142">
        <v>28.598749999999999</v>
      </c>
      <c r="L142">
        <v>62.666699999999999</v>
      </c>
      <c r="M142">
        <v>8.0835500000000007</v>
      </c>
      <c r="N142">
        <v>2258</v>
      </c>
      <c r="O142">
        <v>3547</v>
      </c>
      <c r="P142">
        <v>5805</v>
      </c>
    </row>
    <row r="143" spans="1:16" x14ac:dyDescent="0.3">
      <c r="A143">
        <v>142</v>
      </c>
      <c r="B143" t="s">
        <v>97</v>
      </c>
      <c r="C143">
        <v>2</v>
      </c>
      <c r="D143">
        <v>0</v>
      </c>
      <c r="E143">
        <v>5</v>
      </c>
      <c r="F143">
        <v>0</v>
      </c>
      <c r="G143">
        <v>0</v>
      </c>
      <c r="H143">
        <v>0</v>
      </c>
      <c r="I143">
        <v>1</v>
      </c>
      <c r="J143">
        <v>24.770847</v>
      </c>
      <c r="K143">
        <v>28.725000000000001</v>
      </c>
      <c r="L143">
        <v>74.958299999999994</v>
      </c>
      <c r="M143">
        <v>9.9165360000000007</v>
      </c>
      <c r="N143">
        <v>1576</v>
      </c>
      <c r="O143">
        <v>3084</v>
      </c>
      <c r="P143">
        <v>4660</v>
      </c>
    </row>
    <row r="144" spans="1:16" x14ac:dyDescent="0.3">
      <c r="A144">
        <v>143</v>
      </c>
      <c r="B144" t="s">
        <v>98</v>
      </c>
      <c r="C144">
        <v>2</v>
      </c>
      <c r="D144">
        <v>0</v>
      </c>
      <c r="E144">
        <v>5</v>
      </c>
      <c r="F144">
        <v>0</v>
      </c>
      <c r="G144">
        <v>1</v>
      </c>
      <c r="H144">
        <v>1</v>
      </c>
      <c r="I144">
        <v>2</v>
      </c>
      <c r="J144">
        <v>25.898347000000001</v>
      </c>
      <c r="K144">
        <v>29.514800000000001</v>
      </c>
      <c r="L144">
        <v>81</v>
      </c>
      <c r="M144">
        <v>15.667414000000001</v>
      </c>
      <c r="N144">
        <v>836</v>
      </c>
      <c r="O144">
        <v>3438</v>
      </c>
      <c r="P144">
        <v>4274</v>
      </c>
    </row>
    <row r="145" spans="1:16" x14ac:dyDescent="0.3">
      <c r="A145">
        <v>144</v>
      </c>
      <c r="B145" t="s">
        <v>99</v>
      </c>
      <c r="C145">
        <v>2</v>
      </c>
      <c r="D145">
        <v>0</v>
      </c>
      <c r="E145">
        <v>5</v>
      </c>
      <c r="F145">
        <v>0</v>
      </c>
      <c r="G145">
        <v>2</v>
      </c>
      <c r="H145">
        <v>1</v>
      </c>
      <c r="I145">
        <v>2</v>
      </c>
      <c r="J145">
        <v>27.06</v>
      </c>
      <c r="K145">
        <v>30.240649999999999</v>
      </c>
      <c r="L145">
        <v>74.083299999999994</v>
      </c>
      <c r="M145">
        <v>13.875164</v>
      </c>
      <c r="N145">
        <v>659</v>
      </c>
      <c r="O145">
        <v>3833</v>
      </c>
      <c r="P145">
        <v>4492</v>
      </c>
    </row>
    <row r="146" spans="1:16" x14ac:dyDescent="0.3">
      <c r="A146">
        <v>145</v>
      </c>
      <c r="B146" t="s">
        <v>100</v>
      </c>
      <c r="C146">
        <v>2</v>
      </c>
      <c r="D146">
        <v>0</v>
      </c>
      <c r="E146">
        <v>5</v>
      </c>
      <c r="F146">
        <v>0</v>
      </c>
      <c r="G146">
        <v>3</v>
      </c>
      <c r="H146">
        <v>1</v>
      </c>
      <c r="I146">
        <v>1</v>
      </c>
      <c r="J146">
        <v>27.094152999999999</v>
      </c>
      <c r="K146">
        <v>30.777100000000001</v>
      </c>
      <c r="L146">
        <v>69.625</v>
      </c>
      <c r="M146">
        <v>10.333610999999999</v>
      </c>
      <c r="N146">
        <v>740</v>
      </c>
      <c r="O146">
        <v>4238</v>
      </c>
      <c r="P146">
        <v>4978</v>
      </c>
    </row>
    <row r="147" spans="1:16" x14ac:dyDescent="0.3">
      <c r="A147">
        <v>146</v>
      </c>
      <c r="B147" t="s">
        <v>101</v>
      </c>
      <c r="C147">
        <v>2</v>
      </c>
      <c r="D147">
        <v>0</v>
      </c>
      <c r="E147">
        <v>5</v>
      </c>
      <c r="F147">
        <v>0</v>
      </c>
      <c r="G147">
        <v>4</v>
      </c>
      <c r="H147">
        <v>1</v>
      </c>
      <c r="I147">
        <v>1</v>
      </c>
      <c r="J147">
        <v>29.041653</v>
      </c>
      <c r="K147">
        <v>32.734400000000001</v>
      </c>
      <c r="L147">
        <v>67.75</v>
      </c>
      <c r="M147">
        <v>13.376014</v>
      </c>
      <c r="N147">
        <v>758</v>
      </c>
      <c r="O147">
        <v>3919</v>
      </c>
      <c r="P147">
        <v>4677</v>
      </c>
    </row>
    <row r="148" spans="1:16" x14ac:dyDescent="0.3">
      <c r="A148">
        <v>147</v>
      </c>
      <c r="B148" t="s">
        <v>102</v>
      </c>
      <c r="C148">
        <v>2</v>
      </c>
      <c r="D148">
        <v>0</v>
      </c>
      <c r="E148">
        <v>5</v>
      </c>
      <c r="F148">
        <v>0</v>
      </c>
      <c r="G148">
        <v>5</v>
      </c>
      <c r="H148">
        <v>1</v>
      </c>
      <c r="I148">
        <v>1</v>
      </c>
      <c r="J148">
        <v>27.948346999999998</v>
      </c>
      <c r="K148">
        <v>31.8504</v>
      </c>
      <c r="L148">
        <v>65.375</v>
      </c>
      <c r="M148">
        <v>16.125492999999999</v>
      </c>
      <c r="N148">
        <v>871</v>
      </c>
      <c r="O148">
        <v>3808</v>
      </c>
      <c r="P148">
        <v>4679</v>
      </c>
    </row>
    <row r="149" spans="1:16" x14ac:dyDescent="0.3">
      <c r="A149">
        <v>148</v>
      </c>
      <c r="B149" t="s">
        <v>103</v>
      </c>
      <c r="C149">
        <v>2</v>
      </c>
      <c r="D149">
        <v>0</v>
      </c>
      <c r="E149">
        <v>5</v>
      </c>
      <c r="F149">
        <v>0</v>
      </c>
      <c r="G149">
        <v>6</v>
      </c>
      <c r="H149">
        <v>0</v>
      </c>
      <c r="I149">
        <v>1</v>
      </c>
      <c r="J149">
        <v>26.889153</v>
      </c>
      <c r="K149">
        <v>30.618950000000002</v>
      </c>
      <c r="L149">
        <v>72.958299999999994</v>
      </c>
      <c r="M149">
        <v>15.416164</v>
      </c>
      <c r="N149">
        <v>2001</v>
      </c>
      <c r="O149">
        <v>2757</v>
      </c>
      <c r="P149">
        <v>4758</v>
      </c>
    </row>
    <row r="150" spans="1:16" x14ac:dyDescent="0.3">
      <c r="A150">
        <v>149</v>
      </c>
      <c r="B150" t="s">
        <v>104</v>
      </c>
      <c r="C150">
        <v>2</v>
      </c>
      <c r="D150">
        <v>0</v>
      </c>
      <c r="E150">
        <v>5</v>
      </c>
      <c r="F150">
        <v>0</v>
      </c>
      <c r="G150">
        <v>0</v>
      </c>
      <c r="H150">
        <v>0</v>
      </c>
      <c r="I150">
        <v>1</v>
      </c>
      <c r="J150">
        <v>27.3675</v>
      </c>
      <c r="K150">
        <v>30.7775</v>
      </c>
      <c r="L150">
        <v>81.875</v>
      </c>
      <c r="M150">
        <v>14.333845999999999</v>
      </c>
      <c r="N150">
        <v>2355</v>
      </c>
      <c r="O150">
        <v>2433</v>
      </c>
      <c r="P150">
        <v>4788</v>
      </c>
    </row>
    <row r="151" spans="1:16" x14ac:dyDescent="0.3">
      <c r="A151">
        <v>150</v>
      </c>
      <c r="B151" t="s">
        <v>105</v>
      </c>
      <c r="C151">
        <v>2</v>
      </c>
      <c r="D151">
        <v>0</v>
      </c>
      <c r="E151">
        <v>5</v>
      </c>
      <c r="F151">
        <v>1</v>
      </c>
      <c r="G151">
        <v>1</v>
      </c>
      <c r="H151">
        <v>0</v>
      </c>
      <c r="I151">
        <v>1</v>
      </c>
      <c r="J151">
        <v>30.066652999999999</v>
      </c>
      <c r="K151">
        <v>33.554600000000001</v>
      </c>
      <c r="L151">
        <v>68.5</v>
      </c>
      <c r="M151">
        <v>8.7920750000000005</v>
      </c>
      <c r="N151">
        <v>1549</v>
      </c>
      <c r="O151">
        <v>2549</v>
      </c>
      <c r="P151">
        <v>4098</v>
      </c>
    </row>
    <row r="152" spans="1:16" x14ac:dyDescent="0.3">
      <c r="A152">
        <v>151</v>
      </c>
      <c r="B152" t="s">
        <v>106</v>
      </c>
      <c r="C152">
        <v>2</v>
      </c>
      <c r="D152">
        <v>0</v>
      </c>
      <c r="E152">
        <v>5</v>
      </c>
      <c r="F152">
        <v>0</v>
      </c>
      <c r="G152">
        <v>2</v>
      </c>
      <c r="H152">
        <v>1</v>
      </c>
      <c r="I152">
        <v>1</v>
      </c>
      <c r="J152">
        <v>31.774999999999999</v>
      </c>
      <c r="K152">
        <v>36.269150000000003</v>
      </c>
      <c r="L152">
        <v>63.666699999999999</v>
      </c>
      <c r="M152">
        <v>7.4590430000000003</v>
      </c>
      <c r="N152">
        <v>673</v>
      </c>
      <c r="O152">
        <v>3309</v>
      </c>
      <c r="P152">
        <v>3982</v>
      </c>
    </row>
    <row r="153" spans="1:16" x14ac:dyDescent="0.3">
      <c r="A153">
        <v>152</v>
      </c>
      <c r="B153" s="1">
        <v>43106</v>
      </c>
      <c r="C153">
        <v>2</v>
      </c>
      <c r="D153">
        <v>0</v>
      </c>
      <c r="E153">
        <v>6</v>
      </c>
      <c r="F153">
        <v>0</v>
      </c>
      <c r="G153">
        <v>3</v>
      </c>
      <c r="H153">
        <v>1</v>
      </c>
      <c r="I153">
        <v>2</v>
      </c>
      <c r="J153">
        <v>31.330846999999999</v>
      </c>
      <c r="K153">
        <v>36.048349999999999</v>
      </c>
      <c r="L153">
        <v>67.708299999999994</v>
      </c>
      <c r="M153">
        <v>13.875164</v>
      </c>
      <c r="N153">
        <v>513</v>
      </c>
      <c r="O153">
        <v>3461</v>
      </c>
      <c r="P153">
        <v>3974</v>
      </c>
    </row>
    <row r="154" spans="1:16" x14ac:dyDescent="0.3">
      <c r="A154">
        <v>153</v>
      </c>
      <c r="B154" s="1">
        <v>43137</v>
      </c>
      <c r="C154">
        <v>2</v>
      </c>
      <c r="D154">
        <v>0</v>
      </c>
      <c r="E154">
        <v>6</v>
      </c>
      <c r="F154">
        <v>0</v>
      </c>
      <c r="G154">
        <v>4</v>
      </c>
      <c r="H154">
        <v>1</v>
      </c>
      <c r="I154">
        <v>1</v>
      </c>
      <c r="J154">
        <v>29.315000000000001</v>
      </c>
      <c r="K154">
        <v>32.197099999999999</v>
      </c>
      <c r="L154">
        <v>30.5</v>
      </c>
      <c r="M154">
        <v>19.583228999999999</v>
      </c>
      <c r="N154">
        <v>736</v>
      </c>
      <c r="O154">
        <v>4232</v>
      </c>
      <c r="P154">
        <v>4968</v>
      </c>
    </row>
    <row r="155" spans="1:16" x14ac:dyDescent="0.3">
      <c r="A155">
        <v>154</v>
      </c>
      <c r="B155" s="1">
        <v>43165</v>
      </c>
      <c r="C155">
        <v>2</v>
      </c>
      <c r="D155">
        <v>0</v>
      </c>
      <c r="E155">
        <v>6</v>
      </c>
      <c r="F155">
        <v>0</v>
      </c>
      <c r="G155">
        <v>5</v>
      </c>
      <c r="H155">
        <v>1</v>
      </c>
      <c r="I155">
        <v>1</v>
      </c>
      <c r="J155">
        <v>25.42</v>
      </c>
      <c r="K155">
        <v>29.356649999999998</v>
      </c>
      <c r="L155">
        <v>35.416699999999999</v>
      </c>
      <c r="M155">
        <v>16.959106999999999</v>
      </c>
      <c r="N155">
        <v>898</v>
      </c>
      <c r="O155">
        <v>4414</v>
      </c>
      <c r="P155">
        <v>5312</v>
      </c>
    </row>
    <row r="156" spans="1:16" x14ac:dyDescent="0.3">
      <c r="A156">
        <v>155</v>
      </c>
      <c r="B156" s="1">
        <v>43196</v>
      </c>
      <c r="C156">
        <v>2</v>
      </c>
      <c r="D156">
        <v>0</v>
      </c>
      <c r="E156">
        <v>6</v>
      </c>
      <c r="F156">
        <v>0</v>
      </c>
      <c r="G156">
        <v>6</v>
      </c>
      <c r="H156">
        <v>0</v>
      </c>
      <c r="I156">
        <v>1</v>
      </c>
      <c r="J156">
        <v>26.035</v>
      </c>
      <c r="K156">
        <v>29.7348</v>
      </c>
      <c r="L156">
        <v>45.625</v>
      </c>
      <c r="M156">
        <v>8.2505140000000008</v>
      </c>
      <c r="N156">
        <v>1869</v>
      </c>
      <c r="O156">
        <v>3473</v>
      </c>
      <c r="P156">
        <v>5342</v>
      </c>
    </row>
    <row r="157" spans="1:16" x14ac:dyDescent="0.3">
      <c r="A157">
        <v>156</v>
      </c>
      <c r="B157" s="1">
        <v>43226</v>
      </c>
      <c r="C157">
        <v>2</v>
      </c>
      <c r="D157">
        <v>0</v>
      </c>
      <c r="E157">
        <v>6</v>
      </c>
      <c r="F157">
        <v>0</v>
      </c>
      <c r="G157">
        <v>0</v>
      </c>
      <c r="H157">
        <v>0</v>
      </c>
      <c r="I157">
        <v>2</v>
      </c>
      <c r="J157">
        <v>26.581652999999999</v>
      </c>
      <c r="K157">
        <v>30.840199999999999</v>
      </c>
      <c r="L157">
        <v>65.25</v>
      </c>
      <c r="M157">
        <v>9.2923639999999992</v>
      </c>
      <c r="N157">
        <v>1685</v>
      </c>
      <c r="O157">
        <v>3221</v>
      </c>
      <c r="P157">
        <v>4906</v>
      </c>
    </row>
    <row r="158" spans="1:16" x14ac:dyDescent="0.3">
      <c r="A158">
        <v>157</v>
      </c>
      <c r="B158" s="1">
        <v>43257</v>
      </c>
      <c r="C158">
        <v>2</v>
      </c>
      <c r="D158">
        <v>0</v>
      </c>
      <c r="E158">
        <v>6</v>
      </c>
      <c r="F158">
        <v>0</v>
      </c>
      <c r="G158">
        <v>1</v>
      </c>
      <c r="H158">
        <v>1</v>
      </c>
      <c r="I158">
        <v>1</v>
      </c>
      <c r="J158">
        <v>27.811653</v>
      </c>
      <c r="K158">
        <v>31.0929</v>
      </c>
      <c r="L158">
        <v>60</v>
      </c>
      <c r="M158">
        <v>8.1670320000000007</v>
      </c>
      <c r="N158">
        <v>673</v>
      </c>
      <c r="O158">
        <v>3875</v>
      </c>
      <c r="P158">
        <v>4548</v>
      </c>
    </row>
    <row r="159" spans="1:16" x14ac:dyDescent="0.3">
      <c r="A159">
        <v>158</v>
      </c>
      <c r="B159" s="1">
        <v>43287</v>
      </c>
      <c r="C159">
        <v>2</v>
      </c>
      <c r="D159">
        <v>0</v>
      </c>
      <c r="E159">
        <v>6</v>
      </c>
      <c r="F159">
        <v>0</v>
      </c>
      <c r="G159">
        <v>2</v>
      </c>
      <c r="H159">
        <v>1</v>
      </c>
      <c r="I159">
        <v>1</v>
      </c>
      <c r="J159">
        <v>29.0075</v>
      </c>
      <c r="K159">
        <v>32.797499999999999</v>
      </c>
      <c r="L159">
        <v>59.791699999999999</v>
      </c>
      <c r="M159">
        <v>12.583136</v>
      </c>
      <c r="N159">
        <v>763</v>
      </c>
      <c r="O159">
        <v>4070</v>
      </c>
      <c r="P159">
        <v>4833</v>
      </c>
    </row>
    <row r="160" spans="1:16" x14ac:dyDescent="0.3">
      <c r="A160">
        <v>159</v>
      </c>
      <c r="B160" s="1">
        <v>43318</v>
      </c>
      <c r="C160">
        <v>2</v>
      </c>
      <c r="D160">
        <v>0</v>
      </c>
      <c r="E160">
        <v>6</v>
      </c>
      <c r="F160">
        <v>0</v>
      </c>
      <c r="G160">
        <v>3</v>
      </c>
      <c r="H160">
        <v>1</v>
      </c>
      <c r="I160">
        <v>1</v>
      </c>
      <c r="J160">
        <v>31.809152999999998</v>
      </c>
      <c r="K160">
        <v>36.363950000000003</v>
      </c>
      <c r="L160">
        <v>62.208300000000001</v>
      </c>
      <c r="M160">
        <v>9.1667389999999997</v>
      </c>
      <c r="N160">
        <v>676</v>
      </c>
      <c r="O160">
        <v>3725</v>
      </c>
      <c r="P160">
        <v>4401</v>
      </c>
    </row>
    <row r="161" spans="1:16" x14ac:dyDescent="0.3">
      <c r="A161">
        <v>160</v>
      </c>
      <c r="B161" s="1">
        <v>43349</v>
      </c>
      <c r="C161">
        <v>2</v>
      </c>
      <c r="D161">
        <v>0</v>
      </c>
      <c r="E161">
        <v>6</v>
      </c>
      <c r="F161">
        <v>0</v>
      </c>
      <c r="G161">
        <v>4</v>
      </c>
      <c r="H161">
        <v>1</v>
      </c>
      <c r="I161">
        <v>2</v>
      </c>
      <c r="J161">
        <v>33.141652999999998</v>
      </c>
      <c r="K161">
        <v>37.878950000000003</v>
      </c>
      <c r="L161">
        <v>56.833300000000001</v>
      </c>
      <c r="M161">
        <v>10.042161</v>
      </c>
      <c r="N161">
        <v>563</v>
      </c>
      <c r="O161">
        <v>3352</v>
      </c>
      <c r="P161">
        <v>3915</v>
      </c>
    </row>
    <row r="162" spans="1:16" x14ac:dyDescent="0.3">
      <c r="A162">
        <v>161</v>
      </c>
      <c r="B162" s="1">
        <v>43379</v>
      </c>
      <c r="C162">
        <v>2</v>
      </c>
      <c r="D162">
        <v>0</v>
      </c>
      <c r="E162">
        <v>6</v>
      </c>
      <c r="F162">
        <v>0</v>
      </c>
      <c r="G162">
        <v>5</v>
      </c>
      <c r="H162">
        <v>1</v>
      </c>
      <c r="I162">
        <v>1</v>
      </c>
      <c r="J162">
        <v>30.954999999999998</v>
      </c>
      <c r="K162">
        <v>35.1646</v>
      </c>
      <c r="L162">
        <v>60.5</v>
      </c>
      <c r="M162">
        <v>9.4171180000000003</v>
      </c>
      <c r="N162">
        <v>815</v>
      </c>
      <c r="O162">
        <v>3771</v>
      </c>
      <c r="P162">
        <v>4586</v>
      </c>
    </row>
    <row r="163" spans="1:16" x14ac:dyDescent="0.3">
      <c r="A163">
        <v>162</v>
      </c>
      <c r="B163" s="1">
        <v>43410</v>
      </c>
      <c r="C163">
        <v>2</v>
      </c>
      <c r="D163">
        <v>0</v>
      </c>
      <c r="E163">
        <v>6</v>
      </c>
      <c r="F163">
        <v>0</v>
      </c>
      <c r="G163">
        <v>6</v>
      </c>
      <c r="H163">
        <v>0</v>
      </c>
      <c r="I163">
        <v>1</v>
      </c>
      <c r="J163">
        <v>29.725000000000001</v>
      </c>
      <c r="K163">
        <v>33.901899999999998</v>
      </c>
      <c r="L163">
        <v>65.458299999999994</v>
      </c>
      <c r="M163">
        <v>10.37495</v>
      </c>
      <c r="N163">
        <v>1729</v>
      </c>
      <c r="O163">
        <v>3237</v>
      </c>
      <c r="P163">
        <v>4966</v>
      </c>
    </row>
    <row r="164" spans="1:16" x14ac:dyDescent="0.3">
      <c r="A164">
        <v>163</v>
      </c>
      <c r="B164" s="1">
        <v>43440</v>
      </c>
      <c r="C164">
        <v>2</v>
      </c>
      <c r="D164">
        <v>0</v>
      </c>
      <c r="E164">
        <v>6</v>
      </c>
      <c r="F164">
        <v>0</v>
      </c>
      <c r="G164">
        <v>0</v>
      </c>
      <c r="H164">
        <v>0</v>
      </c>
      <c r="I164">
        <v>1</v>
      </c>
      <c r="J164">
        <v>28.392499999999998</v>
      </c>
      <c r="K164">
        <v>32.166249999999998</v>
      </c>
      <c r="L164">
        <v>74.791700000000006</v>
      </c>
      <c r="M164">
        <v>10.958989000000001</v>
      </c>
      <c r="N164">
        <v>1467</v>
      </c>
      <c r="O164">
        <v>2993</v>
      </c>
      <c r="P164">
        <v>4460</v>
      </c>
    </row>
    <row r="165" spans="1:16" x14ac:dyDescent="0.3">
      <c r="A165">
        <v>164</v>
      </c>
      <c r="B165" t="s">
        <v>107</v>
      </c>
      <c r="C165">
        <v>2</v>
      </c>
      <c r="D165">
        <v>0</v>
      </c>
      <c r="E165">
        <v>6</v>
      </c>
      <c r="F165">
        <v>0</v>
      </c>
      <c r="G165">
        <v>1</v>
      </c>
      <c r="H165">
        <v>1</v>
      </c>
      <c r="I165">
        <v>1</v>
      </c>
      <c r="J165">
        <v>26.035</v>
      </c>
      <c r="K165">
        <v>30.082699999999999</v>
      </c>
      <c r="L165">
        <v>49.458300000000001</v>
      </c>
      <c r="M165">
        <v>20.458449999999999</v>
      </c>
      <c r="N165">
        <v>863</v>
      </c>
      <c r="O165">
        <v>4157</v>
      </c>
      <c r="P165">
        <v>5020</v>
      </c>
    </row>
    <row r="166" spans="1:16" x14ac:dyDescent="0.3">
      <c r="A166">
        <v>165</v>
      </c>
      <c r="B166" t="s">
        <v>108</v>
      </c>
      <c r="C166">
        <v>2</v>
      </c>
      <c r="D166">
        <v>0</v>
      </c>
      <c r="E166">
        <v>6</v>
      </c>
      <c r="F166">
        <v>0</v>
      </c>
      <c r="G166">
        <v>2</v>
      </c>
      <c r="H166">
        <v>1</v>
      </c>
      <c r="I166">
        <v>1</v>
      </c>
      <c r="J166">
        <v>24.770847</v>
      </c>
      <c r="K166">
        <v>29.577300000000001</v>
      </c>
      <c r="L166">
        <v>50.708300000000001</v>
      </c>
      <c r="M166">
        <v>18.041961000000001</v>
      </c>
      <c r="N166">
        <v>727</v>
      </c>
      <c r="O166">
        <v>4164</v>
      </c>
      <c r="P166">
        <v>4891</v>
      </c>
    </row>
    <row r="167" spans="1:16" x14ac:dyDescent="0.3">
      <c r="A167">
        <v>166</v>
      </c>
      <c r="B167" t="s">
        <v>109</v>
      </c>
      <c r="C167">
        <v>2</v>
      </c>
      <c r="D167">
        <v>0</v>
      </c>
      <c r="E167">
        <v>6</v>
      </c>
      <c r="F167">
        <v>0</v>
      </c>
      <c r="G167">
        <v>3</v>
      </c>
      <c r="H167">
        <v>1</v>
      </c>
      <c r="I167">
        <v>1</v>
      </c>
      <c r="J167">
        <v>25.693346999999999</v>
      </c>
      <c r="K167">
        <v>29.387699999999999</v>
      </c>
      <c r="L167">
        <v>47.166699999999999</v>
      </c>
      <c r="M167">
        <v>11.250104</v>
      </c>
      <c r="N167">
        <v>769</v>
      </c>
      <c r="O167">
        <v>4411</v>
      </c>
      <c r="P167">
        <v>5180</v>
      </c>
    </row>
    <row r="168" spans="1:16" x14ac:dyDescent="0.3">
      <c r="A168">
        <v>167</v>
      </c>
      <c r="B168" t="s">
        <v>110</v>
      </c>
      <c r="C168">
        <v>2</v>
      </c>
      <c r="D168">
        <v>0</v>
      </c>
      <c r="E168">
        <v>6</v>
      </c>
      <c r="F168">
        <v>0</v>
      </c>
      <c r="G168">
        <v>4</v>
      </c>
      <c r="H168">
        <v>1</v>
      </c>
      <c r="I168">
        <v>2</v>
      </c>
      <c r="J168">
        <v>25.761652999999999</v>
      </c>
      <c r="K168">
        <v>29.767299999999999</v>
      </c>
      <c r="L168">
        <v>68.833299999999994</v>
      </c>
      <c r="M168">
        <v>13.833557000000001</v>
      </c>
      <c r="N168">
        <v>545</v>
      </c>
      <c r="O168">
        <v>3222</v>
      </c>
      <c r="P168">
        <v>3767</v>
      </c>
    </row>
    <row r="169" spans="1:16" x14ac:dyDescent="0.3">
      <c r="A169">
        <v>168</v>
      </c>
      <c r="B169" t="s">
        <v>111</v>
      </c>
      <c r="C169">
        <v>2</v>
      </c>
      <c r="D169">
        <v>0</v>
      </c>
      <c r="E169">
        <v>6</v>
      </c>
      <c r="F169">
        <v>0</v>
      </c>
      <c r="G169">
        <v>5</v>
      </c>
      <c r="H169">
        <v>1</v>
      </c>
      <c r="I169">
        <v>1</v>
      </c>
      <c r="J169">
        <v>26.615846999999999</v>
      </c>
      <c r="K169">
        <v>30.01915</v>
      </c>
      <c r="L169">
        <v>73.583299999999994</v>
      </c>
      <c r="M169">
        <v>9.5829430000000002</v>
      </c>
      <c r="N169">
        <v>863</v>
      </c>
      <c r="O169">
        <v>3981</v>
      </c>
      <c r="P169">
        <v>4844</v>
      </c>
    </row>
    <row r="170" spans="1:16" x14ac:dyDescent="0.3">
      <c r="A170">
        <v>169</v>
      </c>
      <c r="B170" t="s">
        <v>112</v>
      </c>
      <c r="C170">
        <v>2</v>
      </c>
      <c r="D170">
        <v>0</v>
      </c>
      <c r="E170">
        <v>6</v>
      </c>
      <c r="F170">
        <v>0</v>
      </c>
      <c r="G170">
        <v>6</v>
      </c>
      <c r="H170">
        <v>0</v>
      </c>
      <c r="I170">
        <v>1</v>
      </c>
      <c r="J170">
        <v>28.563347</v>
      </c>
      <c r="K170">
        <v>32.197699999999998</v>
      </c>
      <c r="L170">
        <v>67.041700000000006</v>
      </c>
      <c r="M170">
        <v>8.0003360000000008</v>
      </c>
      <c r="N170">
        <v>1807</v>
      </c>
      <c r="O170">
        <v>3312</v>
      </c>
      <c r="P170">
        <v>5119</v>
      </c>
    </row>
    <row r="171" spans="1:16" x14ac:dyDescent="0.3">
      <c r="A171">
        <v>170</v>
      </c>
      <c r="B171" t="s">
        <v>113</v>
      </c>
      <c r="C171">
        <v>2</v>
      </c>
      <c r="D171">
        <v>0</v>
      </c>
      <c r="E171">
        <v>6</v>
      </c>
      <c r="F171">
        <v>0</v>
      </c>
      <c r="G171">
        <v>0</v>
      </c>
      <c r="H171">
        <v>0</v>
      </c>
      <c r="I171">
        <v>2</v>
      </c>
      <c r="J171">
        <v>28.665846999999999</v>
      </c>
      <c r="K171">
        <v>32.292299999999997</v>
      </c>
      <c r="L171">
        <v>66.666700000000006</v>
      </c>
      <c r="M171">
        <v>6.8339999999999996</v>
      </c>
      <c r="N171">
        <v>1639</v>
      </c>
      <c r="O171">
        <v>3105</v>
      </c>
      <c r="P171">
        <v>4744</v>
      </c>
    </row>
    <row r="172" spans="1:16" x14ac:dyDescent="0.3">
      <c r="A172">
        <v>171</v>
      </c>
      <c r="B172" t="s">
        <v>114</v>
      </c>
      <c r="C172">
        <v>2</v>
      </c>
      <c r="D172">
        <v>0</v>
      </c>
      <c r="E172">
        <v>6</v>
      </c>
      <c r="F172">
        <v>0</v>
      </c>
      <c r="G172">
        <v>1</v>
      </c>
      <c r="H172">
        <v>1</v>
      </c>
      <c r="I172">
        <v>2</v>
      </c>
      <c r="J172">
        <v>26.035</v>
      </c>
      <c r="K172">
        <v>29.767299999999999</v>
      </c>
      <c r="L172">
        <v>74.625</v>
      </c>
      <c r="M172">
        <v>10.416824999999999</v>
      </c>
      <c r="N172">
        <v>699</v>
      </c>
      <c r="O172">
        <v>3311</v>
      </c>
      <c r="P172">
        <v>4010</v>
      </c>
    </row>
    <row r="173" spans="1:16" x14ac:dyDescent="0.3">
      <c r="A173">
        <v>172</v>
      </c>
      <c r="B173" t="s">
        <v>115</v>
      </c>
      <c r="C173">
        <v>3</v>
      </c>
      <c r="D173">
        <v>0</v>
      </c>
      <c r="E173">
        <v>6</v>
      </c>
      <c r="F173">
        <v>0</v>
      </c>
      <c r="G173">
        <v>2</v>
      </c>
      <c r="H173">
        <v>1</v>
      </c>
      <c r="I173">
        <v>2</v>
      </c>
      <c r="J173">
        <v>27.914152999999999</v>
      </c>
      <c r="K173">
        <v>31.882300000000001</v>
      </c>
      <c r="L173">
        <v>77.041700000000006</v>
      </c>
      <c r="M173">
        <v>11.458674999999999</v>
      </c>
      <c r="N173">
        <v>774</v>
      </c>
      <c r="O173">
        <v>4061</v>
      </c>
      <c r="P173">
        <v>4835</v>
      </c>
    </row>
    <row r="174" spans="1:16" x14ac:dyDescent="0.3">
      <c r="A174">
        <v>173</v>
      </c>
      <c r="B174" t="s">
        <v>116</v>
      </c>
      <c r="C174">
        <v>3</v>
      </c>
      <c r="D174">
        <v>0</v>
      </c>
      <c r="E174">
        <v>6</v>
      </c>
      <c r="F174">
        <v>0</v>
      </c>
      <c r="G174">
        <v>3</v>
      </c>
      <c r="H174">
        <v>1</v>
      </c>
      <c r="I174">
        <v>1</v>
      </c>
      <c r="J174">
        <v>30.066652999999999</v>
      </c>
      <c r="K174">
        <v>34.691450000000003</v>
      </c>
      <c r="L174">
        <v>70.75</v>
      </c>
      <c r="M174">
        <v>11.541554</v>
      </c>
      <c r="N174">
        <v>661</v>
      </c>
      <c r="O174">
        <v>3846</v>
      </c>
      <c r="P174">
        <v>4507</v>
      </c>
    </row>
    <row r="175" spans="1:16" x14ac:dyDescent="0.3">
      <c r="A175">
        <v>174</v>
      </c>
      <c r="B175" t="s">
        <v>117</v>
      </c>
      <c r="C175">
        <v>3</v>
      </c>
      <c r="D175">
        <v>0</v>
      </c>
      <c r="E175">
        <v>6</v>
      </c>
      <c r="F175">
        <v>0</v>
      </c>
      <c r="G175">
        <v>4</v>
      </c>
      <c r="H175">
        <v>1</v>
      </c>
      <c r="I175">
        <v>2</v>
      </c>
      <c r="J175">
        <v>29.861653</v>
      </c>
      <c r="K175">
        <v>34.691650000000003</v>
      </c>
      <c r="L175">
        <v>70.333299999999994</v>
      </c>
      <c r="M175">
        <v>15.999867999999999</v>
      </c>
      <c r="N175">
        <v>746</v>
      </c>
      <c r="O175">
        <v>4044</v>
      </c>
      <c r="P175">
        <v>4790</v>
      </c>
    </row>
    <row r="176" spans="1:16" x14ac:dyDescent="0.3">
      <c r="A176">
        <v>175</v>
      </c>
      <c r="B176" t="s">
        <v>118</v>
      </c>
      <c r="C176">
        <v>3</v>
      </c>
      <c r="D176">
        <v>0</v>
      </c>
      <c r="E176">
        <v>6</v>
      </c>
      <c r="F176">
        <v>0</v>
      </c>
      <c r="G176">
        <v>5</v>
      </c>
      <c r="H176">
        <v>1</v>
      </c>
      <c r="I176">
        <v>1</v>
      </c>
      <c r="J176">
        <v>29.690847000000002</v>
      </c>
      <c r="K176">
        <v>32.829149999999998</v>
      </c>
      <c r="L176">
        <v>57.333300000000001</v>
      </c>
      <c r="M176">
        <v>14.875674999999999</v>
      </c>
      <c r="N176">
        <v>969</v>
      </c>
      <c r="O176">
        <v>4022</v>
      </c>
      <c r="P176">
        <v>4991</v>
      </c>
    </row>
    <row r="177" spans="1:16" x14ac:dyDescent="0.3">
      <c r="A177">
        <v>176</v>
      </c>
      <c r="B177" t="s">
        <v>119</v>
      </c>
      <c r="C177">
        <v>3</v>
      </c>
      <c r="D177">
        <v>0</v>
      </c>
      <c r="E177">
        <v>6</v>
      </c>
      <c r="F177">
        <v>0</v>
      </c>
      <c r="G177">
        <v>6</v>
      </c>
      <c r="H177">
        <v>0</v>
      </c>
      <c r="I177">
        <v>1</v>
      </c>
      <c r="J177">
        <v>28.495000000000001</v>
      </c>
      <c r="K177">
        <v>32.165649999999999</v>
      </c>
      <c r="L177">
        <v>48.333300000000001</v>
      </c>
      <c r="M177">
        <v>14.041257</v>
      </c>
      <c r="N177">
        <v>1782</v>
      </c>
      <c r="O177">
        <v>3420</v>
      </c>
      <c r="P177">
        <v>5202</v>
      </c>
    </row>
    <row r="178" spans="1:16" x14ac:dyDescent="0.3">
      <c r="A178">
        <v>177</v>
      </c>
      <c r="B178" t="s">
        <v>120</v>
      </c>
      <c r="C178">
        <v>3</v>
      </c>
      <c r="D178">
        <v>0</v>
      </c>
      <c r="E178">
        <v>6</v>
      </c>
      <c r="F178">
        <v>0</v>
      </c>
      <c r="G178">
        <v>0</v>
      </c>
      <c r="H178">
        <v>0</v>
      </c>
      <c r="I178">
        <v>1</v>
      </c>
      <c r="J178">
        <v>27.88</v>
      </c>
      <c r="K178">
        <v>31.881450000000001</v>
      </c>
      <c r="L178">
        <v>51.333300000000001</v>
      </c>
      <c r="M178">
        <v>6.3337310999999996</v>
      </c>
      <c r="N178">
        <v>1920</v>
      </c>
      <c r="O178">
        <v>3385</v>
      </c>
      <c r="P178">
        <v>5305</v>
      </c>
    </row>
    <row r="179" spans="1:16" x14ac:dyDescent="0.3">
      <c r="A179">
        <v>178</v>
      </c>
      <c r="B179" t="s">
        <v>121</v>
      </c>
      <c r="C179">
        <v>3</v>
      </c>
      <c r="D179">
        <v>0</v>
      </c>
      <c r="E179">
        <v>6</v>
      </c>
      <c r="F179">
        <v>0</v>
      </c>
      <c r="G179">
        <v>1</v>
      </c>
      <c r="H179">
        <v>1</v>
      </c>
      <c r="I179">
        <v>2</v>
      </c>
      <c r="J179">
        <v>27.982500000000002</v>
      </c>
      <c r="K179">
        <v>31.850200000000001</v>
      </c>
      <c r="L179">
        <v>65.833299999999994</v>
      </c>
      <c r="M179">
        <v>7.2083959999999996</v>
      </c>
      <c r="N179">
        <v>854</v>
      </c>
      <c r="O179">
        <v>3854</v>
      </c>
      <c r="P179">
        <v>4708</v>
      </c>
    </row>
    <row r="180" spans="1:16" x14ac:dyDescent="0.3">
      <c r="A180">
        <v>179</v>
      </c>
      <c r="B180" t="s">
        <v>122</v>
      </c>
      <c r="C180">
        <v>3</v>
      </c>
      <c r="D180">
        <v>0</v>
      </c>
      <c r="E180">
        <v>6</v>
      </c>
      <c r="F180">
        <v>0</v>
      </c>
      <c r="G180">
        <v>2</v>
      </c>
      <c r="H180">
        <v>1</v>
      </c>
      <c r="I180">
        <v>1</v>
      </c>
      <c r="J180">
        <v>30.510846999999998</v>
      </c>
      <c r="K180">
        <v>34.627899999999997</v>
      </c>
      <c r="L180">
        <v>63.416699999999999</v>
      </c>
      <c r="M180">
        <v>9.6669610000000006</v>
      </c>
      <c r="N180">
        <v>732</v>
      </c>
      <c r="O180">
        <v>3916</v>
      </c>
      <c r="P180">
        <v>4648</v>
      </c>
    </row>
    <row r="181" spans="1:16" x14ac:dyDescent="0.3">
      <c r="A181">
        <v>180</v>
      </c>
      <c r="B181" t="s">
        <v>123</v>
      </c>
      <c r="C181">
        <v>3</v>
      </c>
      <c r="D181">
        <v>0</v>
      </c>
      <c r="E181">
        <v>6</v>
      </c>
      <c r="F181">
        <v>0</v>
      </c>
      <c r="G181">
        <v>3</v>
      </c>
      <c r="H181">
        <v>1</v>
      </c>
      <c r="I181">
        <v>1</v>
      </c>
      <c r="J181">
        <v>29.861653</v>
      </c>
      <c r="K181">
        <v>32.734400000000001</v>
      </c>
      <c r="L181">
        <v>49.791699999999999</v>
      </c>
      <c r="M181">
        <v>17.542007000000002</v>
      </c>
      <c r="N181">
        <v>848</v>
      </c>
      <c r="O181">
        <v>4377</v>
      </c>
      <c r="P181">
        <v>5225</v>
      </c>
    </row>
    <row r="182" spans="1:16" x14ac:dyDescent="0.3">
      <c r="A182">
        <v>181</v>
      </c>
      <c r="B182" t="s">
        <v>124</v>
      </c>
      <c r="C182">
        <v>3</v>
      </c>
      <c r="D182">
        <v>0</v>
      </c>
      <c r="E182">
        <v>6</v>
      </c>
      <c r="F182">
        <v>0</v>
      </c>
      <c r="G182">
        <v>4</v>
      </c>
      <c r="H182">
        <v>1</v>
      </c>
      <c r="I182">
        <v>1</v>
      </c>
      <c r="J182">
        <v>28.563347</v>
      </c>
      <c r="K182">
        <v>31.8504</v>
      </c>
      <c r="L182">
        <v>43.416699999999999</v>
      </c>
      <c r="M182">
        <v>12.415903999999999</v>
      </c>
      <c r="N182">
        <v>1027</v>
      </c>
      <c r="O182">
        <v>4488</v>
      </c>
      <c r="P182">
        <v>5515</v>
      </c>
    </row>
    <row r="183" spans="1:16" x14ac:dyDescent="0.3">
      <c r="A183">
        <v>182</v>
      </c>
      <c r="B183" s="1">
        <v>43107</v>
      </c>
      <c r="C183">
        <v>3</v>
      </c>
      <c r="D183">
        <v>0</v>
      </c>
      <c r="E183">
        <v>7</v>
      </c>
      <c r="F183">
        <v>0</v>
      </c>
      <c r="G183">
        <v>5</v>
      </c>
      <c r="H183">
        <v>1</v>
      </c>
      <c r="I183">
        <v>1</v>
      </c>
      <c r="J183">
        <v>29.622499999999999</v>
      </c>
      <c r="K183">
        <v>32.6081</v>
      </c>
      <c r="L183">
        <v>39.625</v>
      </c>
      <c r="M183">
        <v>6.8747360000000004</v>
      </c>
      <c r="N183">
        <v>1246</v>
      </c>
      <c r="O183">
        <v>4116</v>
      </c>
      <c r="P183">
        <v>5362</v>
      </c>
    </row>
    <row r="184" spans="1:16" x14ac:dyDescent="0.3">
      <c r="A184">
        <v>183</v>
      </c>
      <c r="B184" s="1">
        <v>43138</v>
      </c>
      <c r="C184">
        <v>3</v>
      </c>
      <c r="D184">
        <v>0</v>
      </c>
      <c r="E184">
        <v>7</v>
      </c>
      <c r="F184">
        <v>0</v>
      </c>
      <c r="G184">
        <v>6</v>
      </c>
      <c r="H184">
        <v>0</v>
      </c>
      <c r="I184">
        <v>1</v>
      </c>
      <c r="J184">
        <v>30.271653000000001</v>
      </c>
      <c r="K184">
        <v>33.365400000000001</v>
      </c>
      <c r="L184">
        <v>44.458300000000001</v>
      </c>
      <c r="M184">
        <v>7.7091539999999998</v>
      </c>
      <c r="N184">
        <v>2204</v>
      </c>
      <c r="O184">
        <v>2915</v>
      </c>
      <c r="P184">
        <v>5119</v>
      </c>
    </row>
    <row r="185" spans="1:16" x14ac:dyDescent="0.3">
      <c r="A185">
        <v>184</v>
      </c>
      <c r="B185" s="1">
        <v>43166</v>
      </c>
      <c r="C185">
        <v>3</v>
      </c>
      <c r="D185">
        <v>0</v>
      </c>
      <c r="E185">
        <v>7</v>
      </c>
      <c r="F185">
        <v>0</v>
      </c>
      <c r="G185">
        <v>0</v>
      </c>
      <c r="H185">
        <v>0</v>
      </c>
      <c r="I185">
        <v>2</v>
      </c>
      <c r="J185">
        <v>29.383347000000001</v>
      </c>
      <c r="K185">
        <v>33.428750000000001</v>
      </c>
      <c r="L185">
        <v>68.25</v>
      </c>
      <c r="M185">
        <v>15.333486000000001</v>
      </c>
      <c r="N185">
        <v>2282</v>
      </c>
      <c r="O185">
        <v>2367</v>
      </c>
      <c r="P185">
        <v>4649</v>
      </c>
    </row>
    <row r="186" spans="1:16" x14ac:dyDescent="0.3">
      <c r="A186">
        <v>185</v>
      </c>
      <c r="B186" s="1">
        <v>43197</v>
      </c>
      <c r="C186">
        <v>3</v>
      </c>
      <c r="D186">
        <v>0</v>
      </c>
      <c r="E186">
        <v>7</v>
      </c>
      <c r="F186">
        <v>1</v>
      </c>
      <c r="G186">
        <v>1</v>
      </c>
      <c r="H186">
        <v>0</v>
      </c>
      <c r="I186">
        <v>2</v>
      </c>
      <c r="J186">
        <v>29.793347000000001</v>
      </c>
      <c r="K186">
        <v>33.270850000000003</v>
      </c>
      <c r="L186">
        <v>63.791699999999999</v>
      </c>
      <c r="M186">
        <v>5.4591063999999996</v>
      </c>
      <c r="N186">
        <v>3065</v>
      </c>
      <c r="O186">
        <v>2978</v>
      </c>
      <c r="P186">
        <v>6043</v>
      </c>
    </row>
    <row r="187" spans="1:16" x14ac:dyDescent="0.3">
      <c r="A187">
        <v>186</v>
      </c>
      <c r="B187" s="1">
        <v>43227</v>
      </c>
      <c r="C187">
        <v>3</v>
      </c>
      <c r="D187">
        <v>0</v>
      </c>
      <c r="E187">
        <v>7</v>
      </c>
      <c r="F187">
        <v>0</v>
      </c>
      <c r="G187">
        <v>2</v>
      </c>
      <c r="H187">
        <v>1</v>
      </c>
      <c r="I187">
        <v>1</v>
      </c>
      <c r="J187">
        <v>30.613347000000001</v>
      </c>
      <c r="K187">
        <v>34.816899999999997</v>
      </c>
      <c r="L187">
        <v>59.041699999999999</v>
      </c>
      <c r="M187">
        <v>8.4592860000000005</v>
      </c>
      <c r="N187">
        <v>1031</v>
      </c>
      <c r="O187">
        <v>3634</v>
      </c>
      <c r="P187">
        <v>4665</v>
      </c>
    </row>
    <row r="188" spans="1:16" x14ac:dyDescent="0.3">
      <c r="A188">
        <v>187</v>
      </c>
      <c r="B188" s="1">
        <v>43258</v>
      </c>
      <c r="C188">
        <v>3</v>
      </c>
      <c r="D188">
        <v>0</v>
      </c>
      <c r="E188">
        <v>7</v>
      </c>
      <c r="F188">
        <v>0</v>
      </c>
      <c r="G188">
        <v>3</v>
      </c>
      <c r="H188">
        <v>1</v>
      </c>
      <c r="I188">
        <v>1</v>
      </c>
      <c r="J188">
        <v>29.52</v>
      </c>
      <c r="K188">
        <v>34.281649999999999</v>
      </c>
      <c r="L188">
        <v>74.333299999999994</v>
      </c>
      <c r="M188">
        <v>10.042161</v>
      </c>
      <c r="N188">
        <v>784</v>
      </c>
      <c r="O188">
        <v>3845</v>
      </c>
      <c r="P188">
        <v>4629</v>
      </c>
    </row>
    <row r="189" spans="1:16" x14ac:dyDescent="0.3">
      <c r="A189">
        <v>188</v>
      </c>
      <c r="B189" s="1">
        <v>43288</v>
      </c>
      <c r="C189">
        <v>3</v>
      </c>
      <c r="D189">
        <v>0</v>
      </c>
      <c r="E189">
        <v>7</v>
      </c>
      <c r="F189">
        <v>0</v>
      </c>
      <c r="G189">
        <v>4</v>
      </c>
      <c r="H189">
        <v>1</v>
      </c>
      <c r="I189">
        <v>1</v>
      </c>
      <c r="J189">
        <v>30.75</v>
      </c>
      <c r="K189">
        <v>34.34355</v>
      </c>
      <c r="L189">
        <v>65.125</v>
      </c>
      <c r="M189">
        <v>10.666399999999999</v>
      </c>
      <c r="N189">
        <v>754</v>
      </c>
      <c r="O189">
        <v>3838</v>
      </c>
      <c r="P189">
        <v>4592</v>
      </c>
    </row>
    <row r="190" spans="1:16" x14ac:dyDescent="0.3">
      <c r="A190">
        <v>189</v>
      </c>
      <c r="B190" s="1">
        <v>43319</v>
      </c>
      <c r="C190">
        <v>3</v>
      </c>
      <c r="D190">
        <v>0</v>
      </c>
      <c r="E190">
        <v>7</v>
      </c>
      <c r="F190">
        <v>0</v>
      </c>
      <c r="G190">
        <v>5</v>
      </c>
      <c r="H190">
        <v>1</v>
      </c>
      <c r="I190">
        <v>2</v>
      </c>
      <c r="J190">
        <v>29.075847</v>
      </c>
      <c r="K190">
        <v>33.524149999999999</v>
      </c>
      <c r="L190">
        <v>75.791700000000006</v>
      </c>
      <c r="M190">
        <v>15.083643</v>
      </c>
      <c r="N190">
        <v>692</v>
      </c>
      <c r="O190">
        <v>3348</v>
      </c>
      <c r="P190">
        <v>4040</v>
      </c>
    </row>
    <row r="191" spans="1:16" x14ac:dyDescent="0.3">
      <c r="A191">
        <v>190</v>
      </c>
      <c r="B191" s="1">
        <v>43350</v>
      </c>
      <c r="C191">
        <v>3</v>
      </c>
      <c r="D191">
        <v>0</v>
      </c>
      <c r="E191">
        <v>7</v>
      </c>
      <c r="F191">
        <v>0</v>
      </c>
      <c r="G191">
        <v>6</v>
      </c>
      <c r="H191">
        <v>0</v>
      </c>
      <c r="I191">
        <v>1</v>
      </c>
      <c r="J191">
        <v>30.066652999999999</v>
      </c>
      <c r="K191">
        <v>33.207900000000002</v>
      </c>
      <c r="L191">
        <v>60.916699999999999</v>
      </c>
      <c r="M191">
        <v>11.250104</v>
      </c>
      <c r="N191">
        <v>1988</v>
      </c>
      <c r="O191">
        <v>3348</v>
      </c>
      <c r="P191">
        <v>5336</v>
      </c>
    </row>
    <row r="192" spans="1:16" x14ac:dyDescent="0.3">
      <c r="A192">
        <v>191</v>
      </c>
      <c r="B192" s="1">
        <v>43380</v>
      </c>
      <c r="C192">
        <v>3</v>
      </c>
      <c r="D192">
        <v>0</v>
      </c>
      <c r="E192">
        <v>7</v>
      </c>
      <c r="F192">
        <v>0</v>
      </c>
      <c r="G192">
        <v>0</v>
      </c>
      <c r="H192">
        <v>0</v>
      </c>
      <c r="I192">
        <v>1</v>
      </c>
      <c r="J192">
        <v>30.647500000000001</v>
      </c>
      <c r="K192">
        <v>34.501249999999999</v>
      </c>
      <c r="L192">
        <v>57.833300000000001</v>
      </c>
      <c r="M192">
        <v>12.292557</v>
      </c>
      <c r="N192">
        <v>1743</v>
      </c>
      <c r="O192">
        <v>3138</v>
      </c>
      <c r="P192">
        <v>4881</v>
      </c>
    </row>
    <row r="193" spans="1:16" x14ac:dyDescent="0.3">
      <c r="A193">
        <v>192</v>
      </c>
      <c r="B193" s="1">
        <v>43411</v>
      </c>
      <c r="C193">
        <v>3</v>
      </c>
      <c r="D193">
        <v>0</v>
      </c>
      <c r="E193">
        <v>7</v>
      </c>
      <c r="F193">
        <v>0</v>
      </c>
      <c r="G193">
        <v>1</v>
      </c>
      <c r="H193">
        <v>1</v>
      </c>
      <c r="I193">
        <v>1</v>
      </c>
      <c r="J193">
        <v>31.262499999999999</v>
      </c>
      <c r="K193">
        <v>36.490200000000002</v>
      </c>
      <c r="L193">
        <v>63.583300000000001</v>
      </c>
      <c r="M193">
        <v>18.916578999999999</v>
      </c>
      <c r="N193">
        <v>723</v>
      </c>
      <c r="O193">
        <v>3363</v>
      </c>
      <c r="P193">
        <v>4086</v>
      </c>
    </row>
    <row r="194" spans="1:16" x14ac:dyDescent="0.3">
      <c r="A194">
        <v>193</v>
      </c>
      <c r="B194" s="1">
        <v>43441</v>
      </c>
      <c r="C194">
        <v>3</v>
      </c>
      <c r="D194">
        <v>0</v>
      </c>
      <c r="E194">
        <v>7</v>
      </c>
      <c r="F194">
        <v>0</v>
      </c>
      <c r="G194">
        <v>2</v>
      </c>
      <c r="H194">
        <v>1</v>
      </c>
      <c r="I194">
        <v>1</v>
      </c>
      <c r="J194">
        <v>32.560847000000003</v>
      </c>
      <c r="K194">
        <v>36.963749999999997</v>
      </c>
      <c r="L194">
        <v>55.916699999999999</v>
      </c>
      <c r="M194">
        <v>13.417018000000001</v>
      </c>
      <c r="N194">
        <v>662</v>
      </c>
      <c r="O194">
        <v>3596</v>
      </c>
      <c r="P194">
        <v>4258</v>
      </c>
    </row>
    <row r="195" spans="1:16" x14ac:dyDescent="0.3">
      <c r="A195">
        <v>194</v>
      </c>
      <c r="B195" t="s">
        <v>125</v>
      </c>
      <c r="C195">
        <v>3</v>
      </c>
      <c r="D195">
        <v>0</v>
      </c>
      <c r="E195">
        <v>7</v>
      </c>
      <c r="F195">
        <v>0</v>
      </c>
      <c r="G195">
        <v>3</v>
      </c>
      <c r="H195">
        <v>1</v>
      </c>
      <c r="I195">
        <v>1</v>
      </c>
      <c r="J195">
        <v>30.613347000000001</v>
      </c>
      <c r="K195">
        <v>34.470199999999998</v>
      </c>
      <c r="L195">
        <v>63.166699999999999</v>
      </c>
      <c r="M195">
        <v>9.7909109999999995</v>
      </c>
      <c r="N195">
        <v>748</v>
      </c>
      <c r="O195">
        <v>3594</v>
      </c>
      <c r="P195">
        <v>4342</v>
      </c>
    </row>
    <row r="196" spans="1:16" x14ac:dyDescent="0.3">
      <c r="A196">
        <v>195</v>
      </c>
      <c r="B196" t="s">
        <v>126</v>
      </c>
      <c r="C196">
        <v>3</v>
      </c>
      <c r="D196">
        <v>0</v>
      </c>
      <c r="E196">
        <v>7</v>
      </c>
      <c r="F196">
        <v>0</v>
      </c>
      <c r="G196">
        <v>4</v>
      </c>
      <c r="H196">
        <v>1</v>
      </c>
      <c r="I196">
        <v>1</v>
      </c>
      <c r="J196">
        <v>27.914152999999999</v>
      </c>
      <c r="K196">
        <v>31.755199999999999</v>
      </c>
      <c r="L196">
        <v>47.625</v>
      </c>
      <c r="M196">
        <v>16.124689</v>
      </c>
      <c r="N196">
        <v>888</v>
      </c>
      <c r="O196">
        <v>4196</v>
      </c>
      <c r="P196">
        <v>5084</v>
      </c>
    </row>
    <row r="197" spans="1:16" x14ac:dyDescent="0.3">
      <c r="A197">
        <v>196</v>
      </c>
      <c r="B197" t="s">
        <v>127</v>
      </c>
      <c r="C197">
        <v>3</v>
      </c>
      <c r="D197">
        <v>0</v>
      </c>
      <c r="E197">
        <v>7</v>
      </c>
      <c r="F197">
        <v>0</v>
      </c>
      <c r="G197">
        <v>5</v>
      </c>
      <c r="H197">
        <v>1</v>
      </c>
      <c r="I197">
        <v>1</v>
      </c>
      <c r="J197">
        <v>27.196653000000001</v>
      </c>
      <c r="K197">
        <v>31.21855</v>
      </c>
      <c r="L197">
        <v>59.125</v>
      </c>
      <c r="M197">
        <v>12.249810999999999</v>
      </c>
      <c r="N197">
        <v>1318</v>
      </c>
      <c r="O197">
        <v>4220</v>
      </c>
      <c r="P197">
        <v>5538</v>
      </c>
    </row>
    <row r="198" spans="1:16" x14ac:dyDescent="0.3">
      <c r="A198">
        <v>197</v>
      </c>
      <c r="B198" t="s">
        <v>128</v>
      </c>
      <c r="C198">
        <v>3</v>
      </c>
      <c r="D198">
        <v>0</v>
      </c>
      <c r="E198">
        <v>7</v>
      </c>
      <c r="F198">
        <v>0</v>
      </c>
      <c r="G198">
        <v>6</v>
      </c>
      <c r="H198">
        <v>0</v>
      </c>
      <c r="I198">
        <v>1</v>
      </c>
      <c r="J198">
        <v>28.153347</v>
      </c>
      <c r="K198">
        <v>31.913150000000002</v>
      </c>
      <c r="L198">
        <v>58.5</v>
      </c>
      <c r="M198">
        <v>13.958914</v>
      </c>
      <c r="N198">
        <v>2418</v>
      </c>
      <c r="O198">
        <v>3505</v>
      </c>
      <c r="P198">
        <v>5923</v>
      </c>
    </row>
    <row r="199" spans="1:16" x14ac:dyDescent="0.3">
      <c r="A199">
        <v>198</v>
      </c>
      <c r="B199" t="s">
        <v>129</v>
      </c>
      <c r="C199">
        <v>3</v>
      </c>
      <c r="D199">
        <v>0</v>
      </c>
      <c r="E199">
        <v>7</v>
      </c>
      <c r="F199">
        <v>0</v>
      </c>
      <c r="G199">
        <v>0</v>
      </c>
      <c r="H199">
        <v>0</v>
      </c>
      <c r="I199">
        <v>1</v>
      </c>
      <c r="J199">
        <v>29.485847</v>
      </c>
      <c r="K199">
        <v>33.49165</v>
      </c>
      <c r="L199">
        <v>60.416699999999999</v>
      </c>
      <c r="M199">
        <v>16.417211000000002</v>
      </c>
      <c r="N199">
        <v>2006</v>
      </c>
      <c r="O199">
        <v>3296</v>
      </c>
      <c r="P199">
        <v>5302</v>
      </c>
    </row>
    <row r="200" spans="1:16" x14ac:dyDescent="0.3">
      <c r="A200">
        <v>199</v>
      </c>
      <c r="B200" t="s">
        <v>130</v>
      </c>
      <c r="C200">
        <v>3</v>
      </c>
      <c r="D200">
        <v>0</v>
      </c>
      <c r="E200">
        <v>7</v>
      </c>
      <c r="F200">
        <v>0</v>
      </c>
      <c r="G200">
        <v>1</v>
      </c>
      <c r="H200">
        <v>1</v>
      </c>
      <c r="I200">
        <v>1</v>
      </c>
      <c r="J200">
        <v>30.613347000000001</v>
      </c>
      <c r="K200">
        <v>35.196249999999999</v>
      </c>
      <c r="L200">
        <v>65.125</v>
      </c>
      <c r="M200">
        <v>14.458868000000001</v>
      </c>
      <c r="N200">
        <v>841</v>
      </c>
      <c r="O200">
        <v>3617</v>
      </c>
      <c r="P200">
        <v>4458</v>
      </c>
    </row>
    <row r="201" spans="1:16" x14ac:dyDescent="0.3">
      <c r="A201">
        <v>200</v>
      </c>
      <c r="B201" t="s">
        <v>131</v>
      </c>
      <c r="C201">
        <v>3</v>
      </c>
      <c r="D201">
        <v>0</v>
      </c>
      <c r="E201">
        <v>7</v>
      </c>
      <c r="F201">
        <v>0</v>
      </c>
      <c r="G201">
        <v>2</v>
      </c>
      <c r="H201">
        <v>1</v>
      </c>
      <c r="I201">
        <v>1</v>
      </c>
      <c r="J201">
        <v>31.843347000000001</v>
      </c>
      <c r="K201">
        <v>37.373950000000001</v>
      </c>
      <c r="L201">
        <v>65.041700000000006</v>
      </c>
      <c r="M201">
        <v>8.7501999999999995</v>
      </c>
      <c r="N201">
        <v>752</v>
      </c>
      <c r="O201">
        <v>3789</v>
      </c>
      <c r="P201">
        <v>4541</v>
      </c>
    </row>
    <row r="202" spans="1:16" x14ac:dyDescent="0.3">
      <c r="A202">
        <v>201</v>
      </c>
      <c r="B202" t="s">
        <v>132</v>
      </c>
      <c r="C202">
        <v>3</v>
      </c>
      <c r="D202">
        <v>0</v>
      </c>
      <c r="E202">
        <v>7</v>
      </c>
      <c r="F202">
        <v>0</v>
      </c>
      <c r="G202">
        <v>3</v>
      </c>
      <c r="H202">
        <v>1</v>
      </c>
      <c r="I202">
        <v>1</v>
      </c>
      <c r="J202">
        <v>31.501653000000001</v>
      </c>
      <c r="K202">
        <v>37.342500000000001</v>
      </c>
      <c r="L202">
        <v>70.708299999999994</v>
      </c>
      <c r="M202">
        <v>7.6257390000000003</v>
      </c>
      <c r="N202">
        <v>644</v>
      </c>
      <c r="O202">
        <v>3688</v>
      </c>
      <c r="P202">
        <v>4332</v>
      </c>
    </row>
    <row r="203" spans="1:16" x14ac:dyDescent="0.3">
      <c r="A203">
        <v>202</v>
      </c>
      <c r="B203" t="s">
        <v>133</v>
      </c>
      <c r="C203">
        <v>3</v>
      </c>
      <c r="D203">
        <v>0</v>
      </c>
      <c r="E203">
        <v>7</v>
      </c>
      <c r="F203">
        <v>0</v>
      </c>
      <c r="G203">
        <v>4</v>
      </c>
      <c r="H203">
        <v>1</v>
      </c>
      <c r="I203">
        <v>2</v>
      </c>
      <c r="J203">
        <v>33.414999999999999</v>
      </c>
      <c r="K203">
        <v>41.318550000000002</v>
      </c>
      <c r="L203">
        <v>69.125</v>
      </c>
      <c r="M203">
        <v>14.875406999999999</v>
      </c>
      <c r="N203">
        <v>632</v>
      </c>
      <c r="O203">
        <v>3152</v>
      </c>
      <c r="P203">
        <v>3784</v>
      </c>
    </row>
    <row r="204" spans="1:16" x14ac:dyDescent="0.3">
      <c r="A204">
        <v>203</v>
      </c>
      <c r="B204" t="s">
        <v>134</v>
      </c>
      <c r="C204">
        <v>3</v>
      </c>
      <c r="D204">
        <v>0</v>
      </c>
      <c r="E204">
        <v>7</v>
      </c>
      <c r="F204">
        <v>0</v>
      </c>
      <c r="G204">
        <v>5</v>
      </c>
      <c r="H204">
        <v>1</v>
      </c>
      <c r="I204">
        <v>1</v>
      </c>
      <c r="J204">
        <v>34.781652999999999</v>
      </c>
      <c r="K204">
        <v>42.044800000000002</v>
      </c>
      <c r="L204">
        <v>58.041699999999999</v>
      </c>
      <c r="M204">
        <v>8.9177</v>
      </c>
      <c r="N204">
        <v>562</v>
      </c>
      <c r="O204">
        <v>2825</v>
      </c>
      <c r="P204">
        <v>3387</v>
      </c>
    </row>
    <row r="205" spans="1:16" x14ac:dyDescent="0.3">
      <c r="A205">
        <v>204</v>
      </c>
      <c r="B205" t="s">
        <v>135</v>
      </c>
      <c r="C205">
        <v>3</v>
      </c>
      <c r="D205">
        <v>0</v>
      </c>
      <c r="E205">
        <v>7</v>
      </c>
      <c r="F205">
        <v>0</v>
      </c>
      <c r="G205">
        <v>6</v>
      </c>
      <c r="H205">
        <v>0</v>
      </c>
      <c r="I205">
        <v>1</v>
      </c>
      <c r="J205">
        <v>34.815846999999998</v>
      </c>
      <c r="K205">
        <v>40.214350000000003</v>
      </c>
      <c r="L205">
        <v>50</v>
      </c>
      <c r="M205">
        <v>8.7918070000000004</v>
      </c>
      <c r="N205">
        <v>987</v>
      </c>
      <c r="O205">
        <v>2298</v>
      </c>
      <c r="P205">
        <v>3285</v>
      </c>
    </row>
    <row r="206" spans="1:16" x14ac:dyDescent="0.3">
      <c r="A206">
        <v>205</v>
      </c>
      <c r="B206" t="s">
        <v>136</v>
      </c>
      <c r="C206">
        <v>3</v>
      </c>
      <c r="D206">
        <v>0</v>
      </c>
      <c r="E206">
        <v>7</v>
      </c>
      <c r="F206">
        <v>0</v>
      </c>
      <c r="G206">
        <v>0</v>
      </c>
      <c r="H206">
        <v>0</v>
      </c>
      <c r="I206">
        <v>1</v>
      </c>
      <c r="J206">
        <v>34.03</v>
      </c>
      <c r="K206">
        <v>39.74145</v>
      </c>
      <c r="L206">
        <v>55.083300000000001</v>
      </c>
      <c r="M206">
        <v>11.334457</v>
      </c>
      <c r="N206">
        <v>1050</v>
      </c>
      <c r="O206">
        <v>2556</v>
      </c>
      <c r="P206">
        <v>3606</v>
      </c>
    </row>
    <row r="207" spans="1:16" x14ac:dyDescent="0.3">
      <c r="A207">
        <v>206</v>
      </c>
      <c r="B207" t="s">
        <v>137</v>
      </c>
      <c r="C207">
        <v>3</v>
      </c>
      <c r="D207">
        <v>0</v>
      </c>
      <c r="E207">
        <v>7</v>
      </c>
      <c r="F207">
        <v>0</v>
      </c>
      <c r="G207">
        <v>1</v>
      </c>
      <c r="H207">
        <v>1</v>
      </c>
      <c r="I207">
        <v>1</v>
      </c>
      <c r="J207">
        <v>30.476652999999999</v>
      </c>
      <c r="K207">
        <v>36.047899999999998</v>
      </c>
      <c r="L207">
        <v>75.708299999999994</v>
      </c>
      <c r="M207">
        <v>6.0841561000000004</v>
      </c>
      <c r="N207">
        <v>568</v>
      </c>
      <c r="O207">
        <v>3272</v>
      </c>
      <c r="P207">
        <v>3840</v>
      </c>
    </row>
    <row r="208" spans="1:16" x14ac:dyDescent="0.3">
      <c r="A208">
        <v>207</v>
      </c>
      <c r="B208" t="s">
        <v>138</v>
      </c>
      <c r="C208">
        <v>3</v>
      </c>
      <c r="D208">
        <v>0</v>
      </c>
      <c r="E208">
        <v>7</v>
      </c>
      <c r="F208">
        <v>0</v>
      </c>
      <c r="G208">
        <v>2</v>
      </c>
      <c r="H208">
        <v>1</v>
      </c>
      <c r="I208">
        <v>1</v>
      </c>
      <c r="J208">
        <v>31.638347</v>
      </c>
      <c r="K208">
        <v>34.848950000000002</v>
      </c>
      <c r="L208">
        <v>54.083300000000001</v>
      </c>
      <c r="M208">
        <v>13.417286000000001</v>
      </c>
      <c r="N208">
        <v>750</v>
      </c>
      <c r="O208">
        <v>3840</v>
      </c>
      <c r="P208">
        <v>4590</v>
      </c>
    </row>
    <row r="209" spans="1:16" x14ac:dyDescent="0.3">
      <c r="A209">
        <v>208</v>
      </c>
      <c r="B209" t="s">
        <v>139</v>
      </c>
      <c r="C209">
        <v>3</v>
      </c>
      <c r="D209">
        <v>0</v>
      </c>
      <c r="E209">
        <v>7</v>
      </c>
      <c r="F209">
        <v>0</v>
      </c>
      <c r="G209">
        <v>3</v>
      </c>
      <c r="H209">
        <v>1</v>
      </c>
      <c r="I209">
        <v>1</v>
      </c>
      <c r="J209">
        <v>31.774999999999999</v>
      </c>
      <c r="K209">
        <v>34.533349999999999</v>
      </c>
      <c r="L209">
        <v>40.291699999999999</v>
      </c>
      <c r="M209">
        <v>12.292021</v>
      </c>
      <c r="N209">
        <v>755</v>
      </c>
      <c r="O209">
        <v>3901</v>
      </c>
      <c r="P209">
        <v>4656</v>
      </c>
    </row>
    <row r="210" spans="1:16" x14ac:dyDescent="0.3">
      <c r="A210">
        <v>209</v>
      </c>
      <c r="B210" t="s">
        <v>140</v>
      </c>
      <c r="C210">
        <v>3</v>
      </c>
      <c r="D210">
        <v>0</v>
      </c>
      <c r="E210">
        <v>7</v>
      </c>
      <c r="F210">
        <v>0</v>
      </c>
      <c r="G210">
        <v>4</v>
      </c>
      <c r="H210">
        <v>1</v>
      </c>
      <c r="I210">
        <v>1</v>
      </c>
      <c r="J210">
        <v>31.945847000000001</v>
      </c>
      <c r="K210">
        <v>36.994999999999997</v>
      </c>
      <c r="L210">
        <v>58.333300000000001</v>
      </c>
      <c r="M210">
        <v>11.958093</v>
      </c>
      <c r="N210">
        <v>606</v>
      </c>
      <c r="O210">
        <v>3784</v>
      </c>
      <c r="P210">
        <v>4390</v>
      </c>
    </row>
    <row r="211" spans="1:16" x14ac:dyDescent="0.3">
      <c r="A211">
        <v>210</v>
      </c>
      <c r="B211" t="s">
        <v>141</v>
      </c>
      <c r="C211">
        <v>3</v>
      </c>
      <c r="D211">
        <v>0</v>
      </c>
      <c r="E211">
        <v>7</v>
      </c>
      <c r="F211">
        <v>0</v>
      </c>
      <c r="G211">
        <v>5</v>
      </c>
      <c r="H211">
        <v>1</v>
      </c>
      <c r="I211">
        <v>1</v>
      </c>
      <c r="J211">
        <v>34.371653000000002</v>
      </c>
      <c r="K211">
        <v>39.298349999999999</v>
      </c>
      <c r="L211">
        <v>54.25</v>
      </c>
      <c r="M211">
        <v>11.667246</v>
      </c>
      <c r="N211">
        <v>670</v>
      </c>
      <c r="O211">
        <v>3176</v>
      </c>
      <c r="P211">
        <v>3846</v>
      </c>
    </row>
    <row r="212" spans="1:16" x14ac:dyDescent="0.3">
      <c r="A212">
        <v>211</v>
      </c>
      <c r="B212" t="s">
        <v>142</v>
      </c>
      <c r="C212">
        <v>3</v>
      </c>
      <c r="D212">
        <v>0</v>
      </c>
      <c r="E212">
        <v>7</v>
      </c>
      <c r="F212">
        <v>0</v>
      </c>
      <c r="G212">
        <v>6</v>
      </c>
      <c r="H212">
        <v>0</v>
      </c>
      <c r="I212">
        <v>1</v>
      </c>
      <c r="J212">
        <v>32.970846999999999</v>
      </c>
      <c r="K212">
        <v>36.426850000000002</v>
      </c>
      <c r="L212">
        <v>46.583300000000001</v>
      </c>
      <c r="M212">
        <v>11.291979</v>
      </c>
      <c r="N212">
        <v>1559</v>
      </c>
      <c r="O212">
        <v>2916</v>
      </c>
      <c r="P212">
        <v>4475</v>
      </c>
    </row>
    <row r="213" spans="1:16" x14ac:dyDescent="0.3">
      <c r="A213">
        <v>212</v>
      </c>
      <c r="B213" t="s">
        <v>143</v>
      </c>
      <c r="C213">
        <v>3</v>
      </c>
      <c r="D213">
        <v>0</v>
      </c>
      <c r="E213">
        <v>7</v>
      </c>
      <c r="F213">
        <v>0</v>
      </c>
      <c r="G213">
        <v>0</v>
      </c>
      <c r="H213">
        <v>0</v>
      </c>
      <c r="I213">
        <v>1</v>
      </c>
      <c r="J213">
        <v>33.039152999999999</v>
      </c>
      <c r="K213">
        <v>36.489800000000002</v>
      </c>
      <c r="L213">
        <v>48.083300000000001</v>
      </c>
      <c r="M213">
        <v>11.042471000000001</v>
      </c>
      <c r="N213">
        <v>1524</v>
      </c>
      <c r="O213">
        <v>2778</v>
      </c>
      <c r="P213">
        <v>4302</v>
      </c>
    </row>
    <row r="214" spans="1:16" x14ac:dyDescent="0.3">
      <c r="A214">
        <v>213</v>
      </c>
      <c r="B214" s="1">
        <v>43108</v>
      </c>
      <c r="C214">
        <v>3</v>
      </c>
      <c r="D214">
        <v>0</v>
      </c>
      <c r="E214">
        <v>8</v>
      </c>
      <c r="F214">
        <v>0</v>
      </c>
      <c r="G214">
        <v>1</v>
      </c>
      <c r="H214">
        <v>1</v>
      </c>
      <c r="I214">
        <v>1</v>
      </c>
      <c r="J214">
        <v>31.638347</v>
      </c>
      <c r="K214">
        <v>35.1646</v>
      </c>
      <c r="L214">
        <v>55.083300000000001</v>
      </c>
      <c r="M214">
        <v>10.500038999999999</v>
      </c>
      <c r="N214">
        <v>729</v>
      </c>
      <c r="O214">
        <v>3537</v>
      </c>
      <c r="P214">
        <v>4266</v>
      </c>
    </row>
    <row r="215" spans="1:16" x14ac:dyDescent="0.3">
      <c r="A215">
        <v>214</v>
      </c>
      <c r="B215" s="1">
        <v>43139</v>
      </c>
      <c r="C215">
        <v>3</v>
      </c>
      <c r="D215">
        <v>0</v>
      </c>
      <c r="E215">
        <v>8</v>
      </c>
      <c r="F215">
        <v>0</v>
      </c>
      <c r="G215">
        <v>2</v>
      </c>
      <c r="H215">
        <v>1</v>
      </c>
      <c r="I215">
        <v>1</v>
      </c>
      <c r="J215">
        <v>32.116652999999999</v>
      </c>
      <c r="K215">
        <v>35.353549999999998</v>
      </c>
      <c r="L215">
        <v>49.125</v>
      </c>
      <c r="M215">
        <v>13.79195</v>
      </c>
      <c r="N215">
        <v>801</v>
      </c>
      <c r="O215">
        <v>4044</v>
      </c>
      <c r="P215">
        <v>4845</v>
      </c>
    </row>
    <row r="216" spans="1:16" x14ac:dyDescent="0.3">
      <c r="A216">
        <v>215</v>
      </c>
      <c r="B216" s="1">
        <v>43167</v>
      </c>
      <c r="C216">
        <v>3</v>
      </c>
      <c r="D216">
        <v>0</v>
      </c>
      <c r="E216">
        <v>8</v>
      </c>
      <c r="F216">
        <v>0</v>
      </c>
      <c r="G216">
        <v>3</v>
      </c>
      <c r="H216">
        <v>1</v>
      </c>
      <c r="I216">
        <v>2</v>
      </c>
      <c r="J216">
        <v>29.998346999999999</v>
      </c>
      <c r="K216">
        <v>33.996850000000002</v>
      </c>
      <c r="L216">
        <v>65.75</v>
      </c>
      <c r="M216">
        <v>9.0840610000000002</v>
      </c>
      <c r="N216">
        <v>467</v>
      </c>
      <c r="O216">
        <v>3107</v>
      </c>
      <c r="P216">
        <v>3574</v>
      </c>
    </row>
    <row r="217" spans="1:16" x14ac:dyDescent="0.3">
      <c r="A217">
        <v>216</v>
      </c>
      <c r="B217" s="1">
        <v>43198</v>
      </c>
      <c r="C217">
        <v>3</v>
      </c>
      <c r="D217">
        <v>0</v>
      </c>
      <c r="E217">
        <v>8</v>
      </c>
      <c r="F217">
        <v>0</v>
      </c>
      <c r="G217">
        <v>4</v>
      </c>
      <c r="H217">
        <v>1</v>
      </c>
      <c r="I217">
        <v>2</v>
      </c>
      <c r="J217">
        <v>29.11</v>
      </c>
      <c r="K217">
        <v>33.239400000000003</v>
      </c>
      <c r="L217">
        <v>75.75</v>
      </c>
      <c r="M217">
        <v>13.20905</v>
      </c>
      <c r="N217">
        <v>799</v>
      </c>
      <c r="O217">
        <v>3777</v>
      </c>
      <c r="P217">
        <v>4576</v>
      </c>
    </row>
    <row r="218" spans="1:16" x14ac:dyDescent="0.3">
      <c r="A218">
        <v>217</v>
      </c>
      <c r="B218" s="1">
        <v>43228</v>
      </c>
      <c r="C218">
        <v>3</v>
      </c>
      <c r="D218">
        <v>0</v>
      </c>
      <c r="E218">
        <v>8</v>
      </c>
      <c r="F218">
        <v>0</v>
      </c>
      <c r="G218">
        <v>5</v>
      </c>
      <c r="H218">
        <v>1</v>
      </c>
      <c r="I218">
        <v>1</v>
      </c>
      <c r="J218">
        <v>29.144152999999999</v>
      </c>
      <c r="K218">
        <v>32.82835</v>
      </c>
      <c r="L218">
        <v>63.083300000000001</v>
      </c>
      <c r="M218">
        <v>12.374632</v>
      </c>
      <c r="N218">
        <v>1023</v>
      </c>
      <c r="O218">
        <v>3843</v>
      </c>
      <c r="P218">
        <v>4866</v>
      </c>
    </row>
    <row r="219" spans="1:16" x14ac:dyDescent="0.3">
      <c r="A219">
        <v>218</v>
      </c>
      <c r="B219" s="1">
        <v>43259</v>
      </c>
      <c r="C219">
        <v>3</v>
      </c>
      <c r="D219">
        <v>0</v>
      </c>
      <c r="E219">
        <v>8</v>
      </c>
      <c r="F219">
        <v>0</v>
      </c>
      <c r="G219">
        <v>6</v>
      </c>
      <c r="H219">
        <v>0</v>
      </c>
      <c r="I219">
        <v>2</v>
      </c>
      <c r="J219">
        <v>29.383347000000001</v>
      </c>
      <c r="K219">
        <v>33.807699999999997</v>
      </c>
      <c r="L219">
        <v>75.5</v>
      </c>
      <c r="M219">
        <v>15.29275</v>
      </c>
      <c r="N219">
        <v>1521</v>
      </c>
      <c r="O219">
        <v>2773</v>
      </c>
      <c r="P219">
        <v>4294</v>
      </c>
    </row>
    <row r="220" spans="1:16" x14ac:dyDescent="0.3">
      <c r="A220">
        <v>219</v>
      </c>
      <c r="B220" s="1">
        <v>43289</v>
      </c>
      <c r="C220">
        <v>3</v>
      </c>
      <c r="D220">
        <v>0</v>
      </c>
      <c r="E220">
        <v>8</v>
      </c>
      <c r="F220">
        <v>0</v>
      </c>
      <c r="G220">
        <v>0</v>
      </c>
      <c r="H220">
        <v>0</v>
      </c>
      <c r="I220">
        <v>1</v>
      </c>
      <c r="J220">
        <v>30.442499999999999</v>
      </c>
      <c r="K220">
        <v>35.764600000000002</v>
      </c>
      <c r="L220">
        <v>75.291700000000006</v>
      </c>
      <c r="M220">
        <v>13.499629000000001</v>
      </c>
      <c r="N220">
        <v>1298</v>
      </c>
      <c r="O220">
        <v>2487</v>
      </c>
      <c r="P220">
        <v>3785</v>
      </c>
    </row>
    <row r="221" spans="1:16" x14ac:dyDescent="0.3">
      <c r="A221">
        <v>220</v>
      </c>
      <c r="B221" s="1">
        <v>43320</v>
      </c>
      <c r="C221">
        <v>3</v>
      </c>
      <c r="D221">
        <v>0</v>
      </c>
      <c r="E221">
        <v>8</v>
      </c>
      <c r="F221">
        <v>0</v>
      </c>
      <c r="G221">
        <v>1</v>
      </c>
      <c r="H221">
        <v>1</v>
      </c>
      <c r="I221">
        <v>1</v>
      </c>
      <c r="J221">
        <v>31.364999999999998</v>
      </c>
      <c r="K221">
        <v>35.164149999999999</v>
      </c>
      <c r="L221">
        <v>59.208300000000001</v>
      </c>
      <c r="M221">
        <v>12.875724999999999</v>
      </c>
      <c r="N221">
        <v>846</v>
      </c>
      <c r="O221">
        <v>3480</v>
      </c>
      <c r="P221">
        <v>4326</v>
      </c>
    </row>
    <row r="222" spans="1:16" x14ac:dyDescent="0.3">
      <c r="A222">
        <v>221</v>
      </c>
      <c r="B222" s="1">
        <v>43351</v>
      </c>
      <c r="C222">
        <v>3</v>
      </c>
      <c r="D222">
        <v>0</v>
      </c>
      <c r="E222">
        <v>8</v>
      </c>
      <c r="F222">
        <v>0</v>
      </c>
      <c r="G222">
        <v>2</v>
      </c>
      <c r="H222">
        <v>1</v>
      </c>
      <c r="I222">
        <v>1</v>
      </c>
      <c r="J222">
        <v>31.774999999999999</v>
      </c>
      <c r="K222">
        <v>36.206049999999998</v>
      </c>
      <c r="L222">
        <v>57.041699999999999</v>
      </c>
      <c r="M222">
        <v>10.125107</v>
      </c>
      <c r="N222">
        <v>907</v>
      </c>
      <c r="O222">
        <v>3695</v>
      </c>
      <c r="P222">
        <v>4602</v>
      </c>
    </row>
    <row r="223" spans="1:16" x14ac:dyDescent="0.3">
      <c r="A223">
        <v>222</v>
      </c>
      <c r="B223" s="1">
        <v>43381</v>
      </c>
      <c r="C223">
        <v>3</v>
      </c>
      <c r="D223">
        <v>0</v>
      </c>
      <c r="E223">
        <v>8</v>
      </c>
      <c r="F223">
        <v>0</v>
      </c>
      <c r="G223">
        <v>3</v>
      </c>
      <c r="H223">
        <v>1</v>
      </c>
      <c r="I223">
        <v>1</v>
      </c>
      <c r="J223">
        <v>31.433347000000001</v>
      </c>
      <c r="K223">
        <v>34.24915</v>
      </c>
      <c r="L223">
        <v>42.416699999999999</v>
      </c>
      <c r="M223">
        <v>13.417286000000001</v>
      </c>
      <c r="N223">
        <v>884</v>
      </c>
      <c r="O223">
        <v>3896</v>
      </c>
      <c r="P223">
        <v>4780</v>
      </c>
    </row>
    <row r="224" spans="1:16" x14ac:dyDescent="0.3">
      <c r="A224">
        <v>223</v>
      </c>
      <c r="B224" s="1">
        <v>43412</v>
      </c>
      <c r="C224">
        <v>3</v>
      </c>
      <c r="D224">
        <v>0</v>
      </c>
      <c r="E224">
        <v>8</v>
      </c>
      <c r="F224">
        <v>0</v>
      </c>
      <c r="G224">
        <v>4</v>
      </c>
      <c r="H224">
        <v>1</v>
      </c>
      <c r="I224">
        <v>1</v>
      </c>
      <c r="J224">
        <v>29.4175</v>
      </c>
      <c r="K224">
        <v>32.576050000000002</v>
      </c>
      <c r="L224">
        <v>42.375</v>
      </c>
      <c r="M224">
        <v>11.041332000000001</v>
      </c>
      <c r="N224">
        <v>812</v>
      </c>
      <c r="O224">
        <v>3980</v>
      </c>
      <c r="P224">
        <v>4792</v>
      </c>
    </row>
    <row r="225" spans="1:16" x14ac:dyDescent="0.3">
      <c r="A225">
        <v>224</v>
      </c>
      <c r="B225" s="1">
        <v>43442</v>
      </c>
      <c r="C225">
        <v>3</v>
      </c>
      <c r="D225">
        <v>0</v>
      </c>
      <c r="E225">
        <v>8</v>
      </c>
      <c r="F225">
        <v>0</v>
      </c>
      <c r="G225">
        <v>5</v>
      </c>
      <c r="H225">
        <v>1</v>
      </c>
      <c r="I225">
        <v>1</v>
      </c>
      <c r="J225">
        <v>29.041653</v>
      </c>
      <c r="K225">
        <v>32.702100000000002</v>
      </c>
      <c r="L225">
        <v>41.5</v>
      </c>
      <c r="M225">
        <v>8.4166070000000008</v>
      </c>
      <c r="N225">
        <v>1051</v>
      </c>
      <c r="O225">
        <v>3854</v>
      </c>
      <c r="P225">
        <v>4905</v>
      </c>
    </row>
    <row r="226" spans="1:16" x14ac:dyDescent="0.3">
      <c r="A226">
        <v>225</v>
      </c>
      <c r="B226" t="s">
        <v>144</v>
      </c>
      <c r="C226">
        <v>3</v>
      </c>
      <c r="D226">
        <v>0</v>
      </c>
      <c r="E226">
        <v>8</v>
      </c>
      <c r="F226">
        <v>0</v>
      </c>
      <c r="G226">
        <v>6</v>
      </c>
      <c r="H226">
        <v>0</v>
      </c>
      <c r="I226">
        <v>2</v>
      </c>
      <c r="J226">
        <v>28.119153000000001</v>
      </c>
      <c r="K226">
        <v>32.292900000000003</v>
      </c>
      <c r="L226">
        <v>72.958299999999994</v>
      </c>
      <c r="M226">
        <v>14.167418</v>
      </c>
      <c r="N226">
        <v>1504</v>
      </c>
      <c r="O226">
        <v>2646</v>
      </c>
      <c r="P226">
        <v>4150</v>
      </c>
    </row>
    <row r="227" spans="1:16" x14ac:dyDescent="0.3">
      <c r="A227">
        <v>226</v>
      </c>
      <c r="B227" t="s">
        <v>145</v>
      </c>
      <c r="C227">
        <v>3</v>
      </c>
      <c r="D227">
        <v>0</v>
      </c>
      <c r="E227">
        <v>8</v>
      </c>
      <c r="F227">
        <v>0</v>
      </c>
      <c r="G227">
        <v>0</v>
      </c>
      <c r="H227">
        <v>0</v>
      </c>
      <c r="I227">
        <v>2</v>
      </c>
      <c r="J227">
        <v>27.743347</v>
      </c>
      <c r="K227">
        <v>31.2194</v>
      </c>
      <c r="L227">
        <v>81.75</v>
      </c>
      <c r="M227">
        <v>14.916411</v>
      </c>
      <c r="N227">
        <v>1338</v>
      </c>
      <c r="O227">
        <v>2482</v>
      </c>
      <c r="P227">
        <v>3820</v>
      </c>
    </row>
    <row r="228" spans="1:16" x14ac:dyDescent="0.3">
      <c r="A228">
        <v>227</v>
      </c>
      <c r="B228" t="s">
        <v>146</v>
      </c>
      <c r="C228">
        <v>3</v>
      </c>
      <c r="D228">
        <v>0</v>
      </c>
      <c r="E228">
        <v>8</v>
      </c>
      <c r="F228">
        <v>0</v>
      </c>
      <c r="G228">
        <v>1</v>
      </c>
      <c r="H228">
        <v>1</v>
      </c>
      <c r="I228">
        <v>1</v>
      </c>
      <c r="J228">
        <v>27.299153</v>
      </c>
      <c r="K228">
        <v>30.808350000000001</v>
      </c>
      <c r="L228">
        <v>71.208299999999994</v>
      </c>
      <c r="M228">
        <v>13.999917999999999</v>
      </c>
      <c r="N228">
        <v>775</v>
      </c>
      <c r="O228">
        <v>3563</v>
      </c>
      <c r="P228">
        <v>4338</v>
      </c>
    </row>
    <row r="229" spans="1:16" x14ac:dyDescent="0.3">
      <c r="A229">
        <v>228</v>
      </c>
      <c r="B229" t="s">
        <v>147</v>
      </c>
      <c r="C229">
        <v>3</v>
      </c>
      <c r="D229">
        <v>0</v>
      </c>
      <c r="E229">
        <v>8</v>
      </c>
      <c r="F229">
        <v>0</v>
      </c>
      <c r="G229">
        <v>2</v>
      </c>
      <c r="H229">
        <v>1</v>
      </c>
      <c r="I229">
        <v>1</v>
      </c>
      <c r="J229">
        <v>28.734152999999999</v>
      </c>
      <c r="K229">
        <v>32.291849999999997</v>
      </c>
      <c r="L229">
        <v>57.833300000000001</v>
      </c>
      <c r="M229">
        <v>15.834042999999999</v>
      </c>
      <c r="N229">
        <v>721</v>
      </c>
      <c r="O229">
        <v>4004</v>
      </c>
      <c r="P229">
        <v>4725</v>
      </c>
    </row>
    <row r="230" spans="1:16" x14ac:dyDescent="0.3">
      <c r="A230">
        <v>229</v>
      </c>
      <c r="B230" t="s">
        <v>148</v>
      </c>
      <c r="C230">
        <v>3</v>
      </c>
      <c r="D230">
        <v>0</v>
      </c>
      <c r="E230">
        <v>8</v>
      </c>
      <c r="F230">
        <v>0</v>
      </c>
      <c r="G230">
        <v>3</v>
      </c>
      <c r="H230">
        <v>1</v>
      </c>
      <c r="I230">
        <v>1</v>
      </c>
      <c r="J230">
        <v>29.656652999999999</v>
      </c>
      <c r="K230">
        <v>33.333550000000002</v>
      </c>
      <c r="L230">
        <v>57.541699999999999</v>
      </c>
      <c r="M230">
        <v>9.6256889999999995</v>
      </c>
      <c r="N230">
        <v>668</v>
      </c>
      <c r="O230">
        <v>4026</v>
      </c>
      <c r="P230">
        <v>4694</v>
      </c>
    </row>
    <row r="231" spans="1:16" x14ac:dyDescent="0.3">
      <c r="A231">
        <v>230</v>
      </c>
      <c r="B231" t="s">
        <v>149</v>
      </c>
      <c r="C231">
        <v>3</v>
      </c>
      <c r="D231">
        <v>0</v>
      </c>
      <c r="E231">
        <v>8</v>
      </c>
      <c r="F231">
        <v>0</v>
      </c>
      <c r="G231">
        <v>4</v>
      </c>
      <c r="H231">
        <v>1</v>
      </c>
      <c r="I231">
        <v>1</v>
      </c>
      <c r="J231">
        <v>29.178346999999999</v>
      </c>
      <c r="K231">
        <v>33.112900000000003</v>
      </c>
      <c r="L231">
        <v>65.458299999999994</v>
      </c>
      <c r="M231">
        <v>15.624936</v>
      </c>
      <c r="N231">
        <v>639</v>
      </c>
      <c r="O231">
        <v>3166</v>
      </c>
      <c r="P231">
        <v>3805</v>
      </c>
    </row>
    <row r="232" spans="1:16" x14ac:dyDescent="0.3">
      <c r="A232">
        <v>231</v>
      </c>
      <c r="B232" t="s">
        <v>150</v>
      </c>
      <c r="C232">
        <v>3</v>
      </c>
      <c r="D232">
        <v>0</v>
      </c>
      <c r="E232">
        <v>8</v>
      </c>
      <c r="F232">
        <v>0</v>
      </c>
      <c r="G232">
        <v>5</v>
      </c>
      <c r="H232">
        <v>1</v>
      </c>
      <c r="I232">
        <v>2</v>
      </c>
      <c r="J232">
        <v>28.085000000000001</v>
      </c>
      <c r="K232">
        <v>31.661049999999999</v>
      </c>
      <c r="L232">
        <v>72.291700000000006</v>
      </c>
      <c r="M232">
        <v>9.3336360000000003</v>
      </c>
      <c r="N232">
        <v>797</v>
      </c>
      <c r="O232">
        <v>3356</v>
      </c>
      <c r="P232">
        <v>4153</v>
      </c>
    </row>
    <row r="233" spans="1:16" x14ac:dyDescent="0.3">
      <c r="A233">
        <v>232</v>
      </c>
      <c r="B233" t="s">
        <v>151</v>
      </c>
      <c r="C233">
        <v>3</v>
      </c>
      <c r="D233">
        <v>0</v>
      </c>
      <c r="E233">
        <v>8</v>
      </c>
      <c r="F233">
        <v>0</v>
      </c>
      <c r="G233">
        <v>6</v>
      </c>
      <c r="H233">
        <v>0</v>
      </c>
      <c r="I233">
        <v>1</v>
      </c>
      <c r="J233">
        <v>28.5975</v>
      </c>
      <c r="K233">
        <v>32.449800000000003</v>
      </c>
      <c r="L233">
        <v>67.416700000000006</v>
      </c>
      <c r="M233">
        <v>6.9992890000000001</v>
      </c>
      <c r="N233">
        <v>1914</v>
      </c>
      <c r="O233">
        <v>3277</v>
      </c>
      <c r="P233">
        <v>5191</v>
      </c>
    </row>
    <row r="234" spans="1:16" x14ac:dyDescent="0.3">
      <c r="A234">
        <v>233</v>
      </c>
      <c r="B234" t="s">
        <v>152</v>
      </c>
      <c r="C234">
        <v>3</v>
      </c>
      <c r="D234">
        <v>0</v>
      </c>
      <c r="E234">
        <v>8</v>
      </c>
      <c r="F234">
        <v>0</v>
      </c>
      <c r="G234">
        <v>0</v>
      </c>
      <c r="H234">
        <v>0</v>
      </c>
      <c r="I234">
        <v>1</v>
      </c>
      <c r="J234">
        <v>29.144152999999999</v>
      </c>
      <c r="K234">
        <v>33.776249999999997</v>
      </c>
      <c r="L234">
        <v>77</v>
      </c>
      <c r="M234">
        <v>16.666518</v>
      </c>
      <c r="N234">
        <v>1249</v>
      </c>
      <c r="O234">
        <v>2624</v>
      </c>
      <c r="P234">
        <v>3873</v>
      </c>
    </row>
    <row r="235" spans="1:16" x14ac:dyDescent="0.3">
      <c r="A235">
        <v>234</v>
      </c>
      <c r="B235" t="s">
        <v>153</v>
      </c>
      <c r="C235">
        <v>3</v>
      </c>
      <c r="D235">
        <v>0</v>
      </c>
      <c r="E235">
        <v>8</v>
      </c>
      <c r="F235">
        <v>0</v>
      </c>
      <c r="G235">
        <v>1</v>
      </c>
      <c r="H235">
        <v>1</v>
      </c>
      <c r="I235">
        <v>1</v>
      </c>
      <c r="J235">
        <v>28.358346999999998</v>
      </c>
      <c r="K235">
        <v>31.912700000000001</v>
      </c>
      <c r="L235">
        <v>47</v>
      </c>
      <c r="M235">
        <v>18.542249999999999</v>
      </c>
      <c r="N235">
        <v>833</v>
      </c>
      <c r="O235">
        <v>3925</v>
      </c>
      <c r="P235">
        <v>4758</v>
      </c>
    </row>
    <row r="236" spans="1:16" x14ac:dyDescent="0.3">
      <c r="A236">
        <v>235</v>
      </c>
      <c r="B236" t="s">
        <v>154</v>
      </c>
      <c r="C236">
        <v>3</v>
      </c>
      <c r="D236">
        <v>0</v>
      </c>
      <c r="E236">
        <v>8</v>
      </c>
      <c r="F236">
        <v>0</v>
      </c>
      <c r="G236">
        <v>2</v>
      </c>
      <c r="H236">
        <v>1</v>
      </c>
      <c r="I236">
        <v>1</v>
      </c>
      <c r="J236">
        <v>26.274152999999998</v>
      </c>
      <c r="K236">
        <v>30.303349999999998</v>
      </c>
      <c r="L236">
        <v>45.541699999999999</v>
      </c>
      <c r="M236">
        <v>9.8331210000000002</v>
      </c>
      <c r="N236">
        <v>1281</v>
      </c>
      <c r="O236">
        <v>4614</v>
      </c>
      <c r="P236">
        <v>5895</v>
      </c>
    </row>
    <row r="237" spans="1:16" x14ac:dyDescent="0.3">
      <c r="A237">
        <v>236</v>
      </c>
      <c r="B237" t="s">
        <v>155</v>
      </c>
      <c r="C237">
        <v>3</v>
      </c>
      <c r="D237">
        <v>0</v>
      </c>
      <c r="E237">
        <v>8</v>
      </c>
      <c r="F237">
        <v>0</v>
      </c>
      <c r="G237">
        <v>3</v>
      </c>
      <c r="H237">
        <v>1</v>
      </c>
      <c r="I237">
        <v>1</v>
      </c>
      <c r="J237">
        <v>27.606653000000001</v>
      </c>
      <c r="K237">
        <v>31.534600000000001</v>
      </c>
      <c r="L237">
        <v>60.5</v>
      </c>
      <c r="M237">
        <v>16.958235999999999</v>
      </c>
      <c r="N237">
        <v>949</v>
      </c>
      <c r="O237">
        <v>4181</v>
      </c>
      <c r="P237">
        <v>5130</v>
      </c>
    </row>
    <row r="238" spans="1:16" x14ac:dyDescent="0.3">
      <c r="A238">
        <v>237</v>
      </c>
      <c r="B238" t="s">
        <v>156</v>
      </c>
      <c r="C238">
        <v>3</v>
      </c>
      <c r="D238">
        <v>0</v>
      </c>
      <c r="E238">
        <v>8</v>
      </c>
      <c r="F238">
        <v>0</v>
      </c>
      <c r="G238">
        <v>4</v>
      </c>
      <c r="H238">
        <v>1</v>
      </c>
      <c r="I238">
        <v>2</v>
      </c>
      <c r="J238">
        <v>28.050847000000001</v>
      </c>
      <c r="K238">
        <v>32.292700000000004</v>
      </c>
      <c r="L238">
        <v>77.166700000000006</v>
      </c>
      <c r="M238">
        <v>14.125811000000001</v>
      </c>
      <c r="N238">
        <v>435</v>
      </c>
      <c r="O238">
        <v>3107</v>
      </c>
      <c r="P238">
        <v>3542</v>
      </c>
    </row>
    <row r="239" spans="1:16" x14ac:dyDescent="0.3">
      <c r="A239">
        <v>238</v>
      </c>
      <c r="B239" t="s">
        <v>157</v>
      </c>
      <c r="C239">
        <v>3</v>
      </c>
      <c r="D239">
        <v>0</v>
      </c>
      <c r="E239">
        <v>8</v>
      </c>
      <c r="F239">
        <v>0</v>
      </c>
      <c r="G239">
        <v>5</v>
      </c>
      <c r="H239">
        <v>1</v>
      </c>
      <c r="I239">
        <v>1</v>
      </c>
      <c r="J239">
        <v>28.7</v>
      </c>
      <c r="K239">
        <v>32.986649999999997</v>
      </c>
      <c r="L239">
        <v>76.125</v>
      </c>
      <c r="M239">
        <v>5.6254875000000002</v>
      </c>
      <c r="N239">
        <v>768</v>
      </c>
      <c r="O239">
        <v>3893</v>
      </c>
      <c r="P239">
        <v>4661</v>
      </c>
    </row>
    <row r="240" spans="1:16" x14ac:dyDescent="0.3">
      <c r="A240">
        <v>239</v>
      </c>
      <c r="B240" t="s">
        <v>158</v>
      </c>
      <c r="C240">
        <v>3</v>
      </c>
      <c r="D240">
        <v>0</v>
      </c>
      <c r="E240">
        <v>8</v>
      </c>
      <c r="F240">
        <v>0</v>
      </c>
      <c r="G240">
        <v>6</v>
      </c>
      <c r="H240">
        <v>0</v>
      </c>
      <c r="I240">
        <v>2</v>
      </c>
      <c r="J240">
        <v>27.88</v>
      </c>
      <c r="K240">
        <v>31.777799999999999</v>
      </c>
      <c r="L240">
        <v>85</v>
      </c>
      <c r="M240">
        <v>25.166339000000001</v>
      </c>
      <c r="N240">
        <v>226</v>
      </c>
      <c r="O240">
        <v>889</v>
      </c>
      <c r="P240">
        <v>1115</v>
      </c>
    </row>
    <row r="241" spans="1:16" x14ac:dyDescent="0.3">
      <c r="A241">
        <v>240</v>
      </c>
      <c r="B241" t="s">
        <v>159</v>
      </c>
      <c r="C241">
        <v>3</v>
      </c>
      <c r="D241">
        <v>0</v>
      </c>
      <c r="E241">
        <v>8</v>
      </c>
      <c r="F241">
        <v>0</v>
      </c>
      <c r="G241">
        <v>0</v>
      </c>
      <c r="H241">
        <v>0</v>
      </c>
      <c r="I241">
        <v>1</v>
      </c>
      <c r="J241">
        <v>28.989419000000002</v>
      </c>
      <c r="K241">
        <v>32.397950000000002</v>
      </c>
      <c r="L241">
        <v>56.176499999999997</v>
      </c>
      <c r="M241">
        <v>20.412153</v>
      </c>
      <c r="N241">
        <v>1415</v>
      </c>
      <c r="O241">
        <v>2919</v>
      </c>
      <c r="P241">
        <v>4334</v>
      </c>
    </row>
    <row r="242" spans="1:16" x14ac:dyDescent="0.3">
      <c r="A242">
        <v>241</v>
      </c>
      <c r="B242" t="s">
        <v>160</v>
      </c>
      <c r="C242">
        <v>3</v>
      </c>
      <c r="D242">
        <v>0</v>
      </c>
      <c r="E242">
        <v>8</v>
      </c>
      <c r="F242">
        <v>0</v>
      </c>
      <c r="G242">
        <v>1</v>
      </c>
      <c r="H242">
        <v>1</v>
      </c>
      <c r="I242">
        <v>1</v>
      </c>
      <c r="J242">
        <v>26.103346999999999</v>
      </c>
      <c r="K242">
        <v>30.3979</v>
      </c>
      <c r="L242">
        <v>55.458300000000001</v>
      </c>
      <c r="M242">
        <v>10.708275</v>
      </c>
      <c r="N242">
        <v>729</v>
      </c>
      <c r="O242">
        <v>3905</v>
      </c>
      <c r="P242">
        <v>4634</v>
      </c>
    </row>
    <row r="243" spans="1:16" x14ac:dyDescent="0.3">
      <c r="A243">
        <v>242</v>
      </c>
      <c r="B243" t="s">
        <v>161</v>
      </c>
      <c r="C243">
        <v>3</v>
      </c>
      <c r="D243">
        <v>0</v>
      </c>
      <c r="E243">
        <v>8</v>
      </c>
      <c r="F243">
        <v>0</v>
      </c>
      <c r="G243">
        <v>2</v>
      </c>
      <c r="H243">
        <v>1</v>
      </c>
      <c r="I243">
        <v>1</v>
      </c>
      <c r="J243">
        <v>26.205846999999999</v>
      </c>
      <c r="K243">
        <v>29.735199999999999</v>
      </c>
      <c r="L243">
        <v>54.833300000000001</v>
      </c>
      <c r="M243">
        <v>8.3755360000000003</v>
      </c>
      <c r="N243">
        <v>775</v>
      </c>
      <c r="O243">
        <v>4429</v>
      </c>
      <c r="P243">
        <v>5204</v>
      </c>
    </row>
    <row r="244" spans="1:16" x14ac:dyDescent="0.3">
      <c r="A244">
        <v>243</v>
      </c>
      <c r="B244" t="s">
        <v>162</v>
      </c>
      <c r="C244">
        <v>3</v>
      </c>
      <c r="D244">
        <v>0</v>
      </c>
      <c r="E244">
        <v>8</v>
      </c>
      <c r="F244">
        <v>0</v>
      </c>
      <c r="G244">
        <v>3</v>
      </c>
      <c r="H244">
        <v>1</v>
      </c>
      <c r="I244">
        <v>1</v>
      </c>
      <c r="J244">
        <v>26.923347</v>
      </c>
      <c r="K244">
        <v>30.556049999999999</v>
      </c>
      <c r="L244">
        <v>59.791699999999999</v>
      </c>
      <c r="M244">
        <v>5.5833310999999997</v>
      </c>
      <c r="N244">
        <v>688</v>
      </c>
      <c r="O244">
        <v>4370</v>
      </c>
      <c r="P244">
        <v>5058</v>
      </c>
    </row>
    <row r="245" spans="1:16" x14ac:dyDescent="0.3">
      <c r="A245">
        <v>244</v>
      </c>
      <c r="B245" s="1">
        <v>43109</v>
      </c>
      <c r="C245">
        <v>3</v>
      </c>
      <c r="D245">
        <v>0</v>
      </c>
      <c r="E245">
        <v>9</v>
      </c>
      <c r="F245">
        <v>0</v>
      </c>
      <c r="G245">
        <v>4</v>
      </c>
      <c r="H245">
        <v>1</v>
      </c>
      <c r="I245">
        <v>1</v>
      </c>
      <c r="J245">
        <v>26.855</v>
      </c>
      <c r="K245">
        <v>30.74605</v>
      </c>
      <c r="L245">
        <v>63.916699999999999</v>
      </c>
      <c r="M245">
        <v>9.5003320000000002</v>
      </c>
      <c r="N245">
        <v>783</v>
      </c>
      <c r="O245">
        <v>4332</v>
      </c>
      <c r="P245">
        <v>5115</v>
      </c>
    </row>
    <row r="246" spans="1:16" x14ac:dyDescent="0.3">
      <c r="A246">
        <v>245</v>
      </c>
      <c r="B246" s="1">
        <v>43140</v>
      </c>
      <c r="C246">
        <v>3</v>
      </c>
      <c r="D246">
        <v>0</v>
      </c>
      <c r="E246">
        <v>9</v>
      </c>
      <c r="F246">
        <v>0</v>
      </c>
      <c r="G246">
        <v>5</v>
      </c>
      <c r="H246">
        <v>1</v>
      </c>
      <c r="I246">
        <v>2</v>
      </c>
      <c r="J246">
        <v>26.376653000000001</v>
      </c>
      <c r="K246">
        <v>30.240400000000001</v>
      </c>
      <c r="L246">
        <v>72.708299999999994</v>
      </c>
      <c r="M246">
        <v>9.3752429999999993</v>
      </c>
      <c r="N246">
        <v>875</v>
      </c>
      <c r="O246">
        <v>3852</v>
      </c>
      <c r="P246">
        <v>4727</v>
      </c>
    </row>
    <row r="247" spans="1:16" x14ac:dyDescent="0.3">
      <c r="A247">
        <v>246</v>
      </c>
      <c r="B247" s="1">
        <v>43168</v>
      </c>
      <c r="C247">
        <v>3</v>
      </c>
      <c r="D247">
        <v>0</v>
      </c>
      <c r="E247">
        <v>9</v>
      </c>
      <c r="F247">
        <v>0</v>
      </c>
      <c r="G247">
        <v>6</v>
      </c>
      <c r="H247">
        <v>0</v>
      </c>
      <c r="I247">
        <v>1</v>
      </c>
      <c r="J247">
        <v>27.435846999999999</v>
      </c>
      <c r="K247">
        <v>31.66065</v>
      </c>
      <c r="L247">
        <v>71.666700000000006</v>
      </c>
      <c r="M247">
        <v>12.416774999999999</v>
      </c>
      <c r="N247">
        <v>1935</v>
      </c>
      <c r="O247">
        <v>2549</v>
      </c>
      <c r="P247">
        <v>4484</v>
      </c>
    </row>
    <row r="248" spans="1:16" x14ac:dyDescent="0.3">
      <c r="A248">
        <v>247</v>
      </c>
      <c r="B248" s="1">
        <v>43199</v>
      </c>
      <c r="C248">
        <v>3</v>
      </c>
      <c r="D248">
        <v>0</v>
      </c>
      <c r="E248">
        <v>9</v>
      </c>
      <c r="F248">
        <v>0</v>
      </c>
      <c r="G248">
        <v>0</v>
      </c>
      <c r="H248">
        <v>0</v>
      </c>
      <c r="I248">
        <v>1</v>
      </c>
      <c r="J248">
        <v>29.075847</v>
      </c>
      <c r="K248">
        <v>33.271450000000002</v>
      </c>
      <c r="L248">
        <v>74.208299999999994</v>
      </c>
      <c r="M248">
        <v>13.833289000000001</v>
      </c>
      <c r="N248">
        <v>2521</v>
      </c>
      <c r="O248">
        <v>2419</v>
      </c>
      <c r="P248">
        <v>4940</v>
      </c>
    </row>
    <row r="249" spans="1:16" x14ac:dyDescent="0.3">
      <c r="A249">
        <v>248</v>
      </c>
      <c r="B249" s="1">
        <v>43229</v>
      </c>
      <c r="C249">
        <v>3</v>
      </c>
      <c r="D249">
        <v>0</v>
      </c>
      <c r="E249">
        <v>9</v>
      </c>
      <c r="F249">
        <v>1</v>
      </c>
      <c r="G249">
        <v>1</v>
      </c>
      <c r="H249">
        <v>0</v>
      </c>
      <c r="I249">
        <v>2</v>
      </c>
      <c r="J249">
        <v>27.606653000000001</v>
      </c>
      <c r="K249">
        <v>31.282299999999999</v>
      </c>
      <c r="L249">
        <v>79.041700000000006</v>
      </c>
      <c r="M249">
        <v>14.250632</v>
      </c>
      <c r="N249">
        <v>1236</v>
      </c>
      <c r="O249">
        <v>2115</v>
      </c>
      <c r="P249">
        <v>3351</v>
      </c>
    </row>
    <row r="250" spans="1:16" x14ac:dyDescent="0.3">
      <c r="A250">
        <v>249</v>
      </c>
      <c r="B250" s="1">
        <v>43260</v>
      </c>
      <c r="C250">
        <v>3</v>
      </c>
      <c r="D250">
        <v>0</v>
      </c>
      <c r="E250">
        <v>9</v>
      </c>
      <c r="F250">
        <v>0</v>
      </c>
      <c r="G250">
        <v>2</v>
      </c>
      <c r="H250">
        <v>1</v>
      </c>
      <c r="I250">
        <v>3</v>
      </c>
      <c r="J250">
        <v>22.14</v>
      </c>
      <c r="K250">
        <v>25.76</v>
      </c>
      <c r="L250">
        <v>88.695700000000002</v>
      </c>
      <c r="M250">
        <v>23.044180999999998</v>
      </c>
      <c r="N250">
        <v>204</v>
      </c>
      <c r="O250">
        <v>2506</v>
      </c>
      <c r="P250">
        <v>2710</v>
      </c>
    </row>
    <row r="251" spans="1:16" x14ac:dyDescent="0.3">
      <c r="A251">
        <v>250</v>
      </c>
      <c r="B251" s="1">
        <v>43290</v>
      </c>
      <c r="C251">
        <v>3</v>
      </c>
      <c r="D251">
        <v>0</v>
      </c>
      <c r="E251">
        <v>9</v>
      </c>
      <c r="F251">
        <v>0</v>
      </c>
      <c r="G251">
        <v>3</v>
      </c>
      <c r="H251">
        <v>1</v>
      </c>
      <c r="I251">
        <v>3</v>
      </c>
      <c r="J251">
        <v>24.565847000000002</v>
      </c>
      <c r="K251">
        <v>27.211449999999999</v>
      </c>
      <c r="L251">
        <v>91.708299999999994</v>
      </c>
      <c r="M251">
        <v>6.5003935999999998</v>
      </c>
      <c r="N251">
        <v>118</v>
      </c>
      <c r="O251">
        <v>1878</v>
      </c>
      <c r="P251">
        <v>1996</v>
      </c>
    </row>
    <row r="252" spans="1:16" x14ac:dyDescent="0.3">
      <c r="A252">
        <v>251</v>
      </c>
      <c r="B252" s="1">
        <v>43321</v>
      </c>
      <c r="C252">
        <v>3</v>
      </c>
      <c r="D252">
        <v>0</v>
      </c>
      <c r="E252">
        <v>9</v>
      </c>
      <c r="F252">
        <v>0</v>
      </c>
      <c r="G252">
        <v>4</v>
      </c>
      <c r="H252">
        <v>1</v>
      </c>
      <c r="I252">
        <v>3</v>
      </c>
      <c r="J252">
        <v>25.990432999999999</v>
      </c>
      <c r="K252">
        <v>27.768049999999999</v>
      </c>
      <c r="L252">
        <v>93.956500000000005</v>
      </c>
      <c r="M252">
        <v>12.914116</v>
      </c>
      <c r="N252">
        <v>153</v>
      </c>
      <c r="O252">
        <v>1689</v>
      </c>
      <c r="P252">
        <v>1842</v>
      </c>
    </row>
    <row r="253" spans="1:16" x14ac:dyDescent="0.3">
      <c r="A253">
        <v>252</v>
      </c>
      <c r="B253" s="1">
        <v>43352</v>
      </c>
      <c r="C253">
        <v>3</v>
      </c>
      <c r="D253">
        <v>0</v>
      </c>
      <c r="E253">
        <v>9</v>
      </c>
      <c r="F253">
        <v>0</v>
      </c>
      <c r="G253">
        <v>5</v>
      </c>
      <c r="H253">
        <v>1</v>
      </c>
      <c r="I253">
        <v>2</v>
      </c>
      <c r="J253">
        <v>26.65</v>
      </c>
      <c r="K253">
        <v>28.947299999999998</v>
      </c>
      <c r="L253">
        <v>89.791700000000006</v>
      </c>
      <c r="M253">
        <v>8.3333929999999992</v>
      </c>
      <c r="N253">
        <v>417</v>
      </c>
      <c r="O253">
        <v>3127</v>
      </c>
      <c r="P253">
        <v>3544</v>
      </c>
    </row>
    <row r="254" spans="1:16" x14ac:dyDescent="0.3">
      <c r="A254">
        <v>253</v>
      </c>
      <c r="B254" s="1">
        <v>43382</v>
      </c>
      <c r="C254">
        <v>3</v>
      </c>
      <c r="D254">
        <v>0</v>
      </c>
      <c r="E254">
        <v>9</v>
      </c>
      <c r="F254">
        <v>0</v>
      </c>
      <c r="G254">
        <v>6</v>
      </c>
      <c r="H254">
        <v>0</v>
      </c>
      <c r="I254">
        <v>1</v>
      </c>
      <c r="J254">
        <v>27.06</v>
      </c>
      <c r="K254">
        <v>30.398099999999999</v>
      </c>
      <c r="L254">
        <v>75.375</v>
      </c>
      <c r="M254">
        <v>10.291736</v>
      </c>
      <c r="N254">
        <v>1750</v>
      </c>
      <c r="O254">
        <v>3595</v>
      </c>
      <c r="P254">
        <v>5345</v>
      </c>
    </row>
    <row r="255" spans="1:16" x14ac:dyDescent="0.3">
      <c r="A255">
        <v>254</v>
      </c>
      <c r="B255" s="1">
        <v>43413</v>
      </c>
      <c r="C255">
        <v>3</v>
      </c>
      <c r="D255">
        <v>0</v>
      </c>
      <c r="E255">
        <v>9</v>
      </c>
      <c r="F255">
        <v>0</v>
      </c>
      <c r="G255">
        <v>0</v>
      </c>
      <c r="H255">
        <v>0</v>
      </c>
      <c r="I255">
        <v>1</v>
      </c>
      <c r="J255">
        <v>26.786653000000001</v>
      </c>
      <c r="K255">
        <v>30.461449999999999</v>
      </c>
      <c r="L255">
        <v>71.375</v>
      </c>
      <c r="M255">
        <v>7.7086180000000004</v>
      </c>
      <c r="N255">
        <v>1633</v>
      </c>
      <c r="O255">
        <v>3413</v>
      </c>
      <c r="P255">
        <v>5046</v>
      </c>
    </row>
    <row r="256" spans="1:16" x14ac:dyDescent="0.3">
      <c r="A256">
        <v>255</v>
      </c>
      <c r="B256" s="1">
        <v>43443</v>
      </c>
      <c r="C256">
        <v>3</v>
      </c>
      <c r="D256">
        <v>0</v>
      </c>
      <c r="E256">
        <v>9</v>
      </c>
      <c r="F256">
        <v>0</v>
      </c>
      <c r="G256">
        <v>1</v>
      </c>
      <c r="H256">
        <v>1</v>
      </c>
      <c r="I256">
        <v>1</v>
      </c>
      <c r="J256">
        <v>26.418268000000001</v>
      </c>
      <c r="K256">
        <v>30.1065</v>
      </c>
      <c r="L256">
        <v>69.217399999999998</v>
      </c>
      <c r="M256">
        <v>5.9571709999999998</v>
      </c>
      <c r="N256">
        <v>690</v>
      </c>
      <c r="O256">
        <v>4023</v>
      </c>
      <c r="P256">
        <v>4713</v>
      </c>
    </row>
    <row r="257" spans="1:16" x14ac:dyDescent="0.3">
      <c r="A257">
        <v>256</v>
      </c>
      <c r="B257" t="s">
        <v>163</v>
      </c>
      <c r="C257">
        <v>3</v>
      </c>
      <c r="D257">
        <v>0</v>
      </c>
      <c r="E257">
        <v>9</v>
      </c>
      <c r="F257">
        <v>0</v>
      </c>
      <c r="G257">
        <v>2</v>
      </c>
      <c r="H257">
        <v>1</v>
      </c>
      <c r="I257">
        <v>1</v>
      </c>
      <c r="J257">
        <v>26.684152999999998</v>
      </c>
      <c r="K257">
        <v>30.177700000000002</v>
      </c>
      <c r="L257">
        <v>71.25</v>
      </c>
      <c r="M257">
        <v>9.5008680000000005</v>
      </c>
      <c r="N257">
        <v>701</v>
      </c>
      <c r="O257">
        <v>4062</v>
      </c>
      <c r="P257">
        <v>4763</v>
      </c>
    </row>
    <row r="258" spans="1:16" x14ac:dyDescent="0.3">
      <c r="A258">
        <v>257</v>
      </c>
      <c r="B258" t="s">
        <v>164</v>
      </c>
      <c r="C258">
        <v>3</v>
      </c>
      <c r="D258">
        <v>0</v>
      </c>
      <c r="E258">
        <v>9</v>
      </c>
      <c r="F258">
        <v>0</v>
      </c>
      <c r="G258">
        <v>3</v>
      </c>
      <c r="H258">
        <v>1</v>
      </c>
      <c r="I258">
        <v>1</v>
      </c>
      <c r="J258">
        <v>27.606653000000001</v>
      </c>
      <c r="K258">
        <v>31.344999999999999</v>
      </c>
      <c r="L258">
        <v>69.708299999999994</v>
      </c>
      <c r="M258">
        <v>11.209099999999999</v>
      </c>
      <c r="N258">
        <v>647</v>
      </c>
      <c r="O258">
        <v>4138</v>
      </c>
      <c r="P258">
        <v>4785</v>
      </c>
    </row>
    <row r="259" spans="1:16" x14ac:dyDescent="0.3">
      <c r="A259">
        <v>258</v>
      </c>
      <c r="B259" t="s">
        <v>165</v>
      </c>
      <c r="C259">
        <v>3</v>
      </c>
      <c r="D259">
        <v>0</v>
      </c>
      <c r="E259">
        <v>9</v>
      </c>
      <c r="F259">
        <v>0</v>
      </c>
      <c r="G259">
        <v>4</v>
      </c>
      <c r="H259">
        <v>1</v>
      </c>
      <c r="I259">
        <v>2</v>
      </c>
      <c r="J259">
        <v>23.677499999999998</v>
      </c>
      <c r="K259">
        <v>27.68355</v>
      </c>
      <c r="L259">
        <v>70.916700000000006</v>
      </c>
      <c r="M259">
        <v>18.166782000000001</v>
      </c>
      <c r="N259">
        <v>428</v>
      </c>
      <c r="O259">
        <v>3231</v>
      </c>
      <c r="P259">
        <v>3659</v>
      </c>
    </row>
    <row r="260" spans="1:16" x14ac:dyDescent="0.3">
      <c r="A260">
        <v>259</v>
      </c>
      <c r="B260" t="s">
        <v>166</v>
      </c>
      <c r="C260">
        <v>3</v>
      </c>
      <c r="D260">
        <v>0</v>
      </c>
      <c r="E260">
        <v>9</v>
      </c>
      <c r="F260">
        <v>0</v>
      </c>
      <c r="G260">
        <v>5</v>
      </c>
      <c r="H260">
        <v>1</v>
      </c>
      <c r="I260">
        <v>2</v>
      </c>
      <c r="J260">
        <v>19.235847</v>
      </c>
      <c r="K260">
        <v>23.07375</v>
      </c>
      <c r="L260">
        <v>59.041699999999999</v>
      </c>
      <c r="M260">
        <v>11.000261</v>
      </c>
      <c r="N260">
        <v>742</v>
      </c>
      <c r="O260">
        <v>4018</v>
      </c>
      <c r="P260">
        <v>4760</v>
      </c>
    </row>
    <row r="261" spans="1:16" x14ac:dyDescent="0.3">
      <c r="A261">
        <v>260</v>
      </c>
      <c r="B261" t="s">
        <v>167</v>
      </c>
      <c r="C261">
        <v>3</v>
      </c>
      <c r="D261">
        <v>0</v>
      </c>
      <c r="E261">
        <v>9</v>
      </c>
      <c r="F261">
        <v>0</v>
      </c>
      <c r="G261">
        <v>6</v>
      </c>
      <c r="H261">
        <v>0</v>
      </c>
      <c r="I261">
        <v>2</v>
      </c>
      <c r="J261">
        <v>20.158346999999999</v>
      </c>
      <c r="K261">
        <v>23.925599999999999</v>
      </c>
      <c r="L261">
        <v>71.833299999999994</v>
      </c>
      <c r="M261">
        <v>12.708225000000001</v>
      </c>
      <c r="N261">
        <v>1434</v>
      </c>
      <c r="O261">
        <v>3077</v>
      </c>
      <c r="P261">
        <v>4511</v>
      </c>
    </row>
    <row r="262" spans="1:16" x14ac:dyDescent="0.3">
      <c r="A262">
        <v>261</v>
      </c>
      <c r="B262" t="s">
        <v>168</v>
      </c>
      <c r="C262">
        <v>3</v>
      </c>
      <c r="D262">
        <v>0</v>
      </c>
      <c r="E262">
        <v>9</v>
      </c>
      <c r="F262">
        <v>0</v>
      </c>
      <c r="G262">
        <v>0</v>
      </c>
      <c r="H262">
        <v>0</v>
      </c>
      <c r="I262">
        <v>1</v>
      </c>
      <c r="J262">
        <v>20.807500000000001</v>
      </c>
      <c r="K262">
        <v>24.52685</v>
      </c>
      <c r="L262">
        <v>69.5</v>
      </c>
      <c r="M262">
        <v>11.958361</v>
      </c>
      <c r="N262">
        <v>1353</v>
      </c>
      <c r="O262">
        <v>2921</v>
      </c>
      <c r="P262">
        <v>4274</v>
      </c>
    </row>
    <row r="263" spans="1:16" x14ac:dyDescent="0.3">
      <c r="A263">
        <v>262</v>
      </c>
      <c r="B263" t="s">
        <v>169</v>
      </c>
      <c r="C263">
        <v>3</v>
      </c>
      <c r="D263">
        <v>0</v>
      </c>
      <c r="E263">
        <v>9</v>
      </c>
      <c r="F263">
        <v>0</v>
      </c>
      <c r="G263">
        <v>1</v>
      </c>
      <c r="H263">
        <v>1</v>
      </c>
      <c r="I263">
        <v>2</v>
      </c>
      <c r="J263">
        <v>22.515847000000001</v>
      </c>
      <c r="K263">
        <v>26.483750000000001</v>
      </c>
      <c r="L263">
        <v>69</v>
      </c>
      <c r="M263">
        <v>10.166714000000001</v>
      </c>
      <c r="N263">
        <v>691</v>
      </c>
      <c r="O263">
        <v>3848</v>
      </c>
      <c r="P263">
        <v>4539</v>
      </c>
    </row>
    <row r="264" spans="1:16" x14ac:dyDescent="0.3">
      <c r="A264">
        <v>263</v>
      </c>
      <c r="B264" t="s">
        <v>170</v>
      </c>
      <c r="C264">
        <v>3</v>
      </c>
      <c r="D264">
        <v>0</v>
      </c>
      <c r="E264">
        <v>9</v>
      </c>
      <c r="F264">
        <v>0</v>
      </c>
      <c r="G264">
        <v>2</v>
      </c>
      <c r="H264">
        <v>1</v>
      </c>
      <c r="I264">
        <v>2</v>
      </c>
      <c r="J264">
        <v>23.028347</v>
      </c>
      <c r="K264">
        <v>26.610849999999999</v>
      </c>
      <c r="L264">
        <v>88.125</v>
      </c>
      <c r="M264">
        <v>9.0419180000000008</v>
      </c>
      <c r="N264">
        <v>438</v>
      </c>
      <c r="O264">
        <v>3203</v>
      </c>
      <c r="P264">
        <v>3641</v>
      </c>
    </row>
    <row r="265" spans="1:16" x14ac:dyDescent="0.3">
      <c r="A265">
        <v>264</v>
      </c>
      <c r="B265" t="s">
        <v>171</v>
      </c>
      <c r="C265">
        <v>3</v>
      </c>
      <c r="D265">
        <v>0</v>
      </c>
      <c r="E265">
        <v>9</v>
      </c>
      <c r="F265">
        <v>0</v>
      </c>
      <c r="G265">
        <v>3</v>
      </c>
      <c r="H265">
        <v>1</v>
      </c>
      <c r="I265">
        <v>2</v>
      </c>
      <c r="J265">
        <v>24.395</v>
      </c>
      <c r="K265">
        <v>27.52665</v>
      </c>
      <c r="L265">
        <v>90</v>
      </c>
      <c r="M265">
        <v>6.4590813999999996</v>
      </c>
      <c r="N265">
        <v>539</v>
      </c>
      <c r="O265">
        <v>3813</v>
      </c>
      <c r="P265">
        <v>4352</v>
      </c>
    </row>
    <row r="266" spans="1:16" x14ac:dyDescent="0.3">
      <c r="A266">
        <v>265</v>
      </c>
      <c r="B266" t="s">
        <v>172</v>
      </c>
      <c r="C266">
        <v>3</v>
      </c>
      <c r="D266">
        <v>0</v>
      </c>
      <c r="E266">
        <v>9</v>
      </c>
      <c r="F266">
        <v>0</v>
      </c>
      <c r="G266">
        <v>4</v>
      </c>
      <c r="H266">
        <v>1</v>
      </c>
      <c r="I266">
        <v>2</v>
      </c>
      <c r="J266">
        <v>25.761652999999999</v>
      </c>
      <c r="K266">
        <v>27.748149999999999</v>
      </c>
      <c r="L266">
        <v>90.208299999999994</v>
      </c>
      <c r="M266">
        <v>8.5843749999999996</v>
      </c>
      <c r="N266">
        <v>555</v>
      </c>
      <c r="O266">
        <v>4240</v>
      </c>
      <c r="P266">
        <v>4795</v>
      </c>
    </row>
    <row r="267" spans="1:16" x14ac:dyDescent="0.3">
      <c r="A267">
        <v>266</v>
      </c>
      <c r="B267" t="s">
        <v>173</v>
      </c>
      <c r="C267">
        <v>4</v>
      </c>
      <c r="D267">
        <v>0</v>
      </c>
      <c r="E267">
        <v>9</v>
      </c>
      <c r="F267">
        <v>0</v>
      </c>
      <c r="G267">
        <v>5</v>
      </c>
      <c r="H267">
        <v>1</v>
      </c>
      <c r="I267">
        <v>2</v>
      </c>
      <c r="J267">
        <v>24.975847000000002</v>
      </c>
      <c r="K267">
        <v>26.106249999999999</v>
      </c>
      <c r="L267">
        <v>97.25</v>
      </c>
      <c r="M267">
        <v>5.2505689000000002</v>
      </c>
      <c r="N267">
        <v>258</v>
      </c>
      <c r="O267">
        <v>2137</v>
      </c>
      <c r="P267">
        <v>2395</v>
      </c>
    </row>
    <row r="268" spans="1:16" x14ac:dyDescent="0.3">
      <c r="A268">
        <v>267</v>
      </c>
      <c r="B268" t="s">
        <v>174</v>
      </c>
      <c r="C268">
        <v>4</v>
      </c>
      <c r="D268">
        <v>0</v>
      </c>
      <c r="E268">
        <v>9</v>
      </c>
      <c r="F268">
        <v>0</v>
      </c>
      <c r="G268">
        <v>6</v>
      </c>
      <c r="H268">
        <v>0</v>
      </c>
      <c r="I268">
        <v>2</v>
      </c>
      <c r="J268">
        <v>24.873346999999999</v>
      </c>
      <c r="K268">
        <v>28.220600000000001</v>
      </c>
      <c r="L268">
        <v>86.25</v>
      </c>
      <c r="M268">
        <v>5.2516810999999999</v>
      </c>
      <c r="N268">
        <v>1776</v>
      </c>
      <c r="O268">
        <v>3647</v>
      </c>
      <c r="P268">
        <v>5423</v>
      </c>
    </row>
    <row r="269" spans="1:16" x14ac:dyDescent="0.3">
      <c r="A269">
        <v>268</v>
      </c>
      <c r="B269" t="s">
        <v>175</v>
      </c>
      <c r="C269">
        <v>4</v>
      </c>
      <c r="D269">
        <v>0</v>
      </c>
      <c r="E269">
        <v>9</v>
      </c>
      <c r="F269">
        <v>0</v>
      </c>
      <c r="G269">
        <v>0</v>
      </c>
      <c r="H269">
        <v>0</v>
      </c>
      <c r="I269">
        <v>2</v>
      </c>
      <c r="J269">
        <v>26.000847</v>
      </c>
      <c r="K269">
        <v>28.63185</v>
      </c>
      <c r="L269">
        <v>84.5</v>
      </c>
      <c r="M269">
        <v>3.3754064000000001</v>
      </c>
      <c r="N269">
        <v>1544</v>
      </c>
      <c r="O269">
        <v>3466</v>
      </c>
      <c r="P269">
        <v>5010</v>
      </c>
    </row>
    <row r="270" spans="1:16" x14ac:dyDescent="0.3">
      <c r="A270">
        <v>269</v>
      </c>
      <c r="B270" t="s">
        <v>176</v>
      </c>
      <c r="C270">
        <v>4</v>
      </c>
      <c r="D270">
        <v>0</v>
      </c>
      <c r="E270">
        <v>9</v>
      </c>
      <c r="F270">
        <v>0</v>
      </c>
      <c r="G270">
        <v>1</v>
      </c>
      <c r="H270">
        <v>1</v>
      </c>
      <c r="I270">
        <v>2</v>
      </c>
      <c r="J270">
        <v>26.615846999999999</v>
      </c>
      <c r="K270">
        <v>29.452100000000002</v>
      </c>
      <c r="L270">
        <v>84.833299999999994</v>
      </c>
      <c r="M270">
        <v>7.4169</v>
      </c>
      <c r="N270">
        <v>684</v>
      </c>
      <c r="O270">
        <v>3946</v>
      </c>
      <c r="P270">
        <v>4630</v>
      </c>
    </row>
    <row r="271" spans="1:16" x14ac:dyDescent="0.3">
      <c r="A271">
        <v>270</v>
      </c>
      <c r="B271" t="s">
        <v>177</v>
      </c>
      <c r="C271">
        <v>4</v>
      </c>
      <c r="D271">
        <v>0</v>
      </c>
      <c r="E271">
        <v>9</v>
      </c>
      <c r="F271">
        <v>0</v>
      </c>
      <c r="G271">
        <v>2</v>
      </c>
      <c r="H271">
        <v>1</v>
      </c>
      <c r="I271">
        <v>2</v>
      </c>
      <c r="J271">
        <v>26.103346999999999</v>
      </c>
      <c r="K271">
        <v>28.72625</v>
      </c>
      <c r="L271">
        <v>88.541700000000006</v>
      </c>
      <c r="M271">
        <v>7.9174569999999997</v>
      </c>
      <c r="N271">
        <v>477</v>
      </c>
      <c r="O271">
        <v>3643</v>
      </c>
      <c r="P271">
        <v>4120</v>
      </c>
    </row>
    <row r="272" spans="1:16" x14ac:dyDescent="0.3">
      <c r="A272">
        <v>271</v>
      </c>
      <c r="B272" t="s">
        <v>178</v>
      </c>
      <c r="C272">
        <v>4</v>
      </c>
      <c r="D272">
        <v>0</v>
      </c>
      <c r="E272">
        <v>9</v>
      </c>
      <c r="F272">
        <v>0</v>
      </c>
      <c r="G272">
        <v>3</v>
      </c>
      <c r="H272">
        <v>1</v>
      </c>
      <c r="I272">
        <v>2</v>
      </c>
      <c r="J272">
        <v>26.035</v>
      </c>
      <c r="K272">
        <v>28.757899999999999</v>
      </c>
      <c r="L272">
        <v>84.875</v>
      </c>
      <c r="M272">
        <v>9.9581429999999997</v>
      </c>
      <c r="N272">
        <v>480</v>
      </c>
      <c r="O272">
        <v>3427</v>
      </c>
      <c r="P272">
        <v>3907</v>
      </c>
    </row>
    <row r="273" spans="1:16" x14ac:dyDescent="0.3">
      <c r="A273">
        <v>272</v>
      </c>
      <c r="B273" t="s">
        <v>179</v>
      </c>
      <c r="C273">
        <v>4</v>
      </c>
      <c r="D273">
        <v>0</v>
      </c>
      <c r="E273">
        <v>9</v>
      </c>
      <c r="F273">
        <v>0</v>
      </c>
      <c r="G273">
        <v>4</v>
      </c>
      <c r="H273">
        <v>1</v>
      </c>
      <c r="I273">
        <v>1</v>
      </c>
      <c r="J273">
        <v>25.283346999999999</v>
      </c>
      <c r="K273">
        <v>28.7256</v>
      </c>
      <c r="L273">
        <v>69.916700000000006</v>
      </c>
      <c r="M273">
        <v>11.583161</v>
      </c>
      <c r="N273">
        <v>653</v>
      </c>
      <c r="O273">
        <v>4186</v>
      </c>
      <c r="P273">
        <v>4839</v>
      </c>
    </row>
    <row r="274" spans="1:16" x14ac:dyDescent="0.3">
      <c r="A274">
        <v>273</v>
      </c>
      <c r="B274" t="s">
        <v>180</v>
      </c>
      <c r="C274">
        <v>4</v>
      </c>
      <c r="D274">
        <v>0</v>
      </c>
      <c r="E274">
        <v>9</v>
      </c>
      <c r="F274">
        <v>0</v>
      </c>
      <c r="G274">
        <v>5</v>
      </c>
      <c r="H274">
        <v>1</v>
      </c>
      <c r="I274">
        <v>1</v>
      </c>
      <c r="J274">
        <v>23.130846999999999</v>
      </c>
      <c r="K274">
        <v>27.24145</v>
      </c>
      <c r="L274">
        <v>64.75</v>
      </c>
      <c r="M274">
        <v>13.833824999999999</v>
      </c>
      <c r="N274">
        <v>830</v>
      </c>
      <c r="O274">
        <v>4372</v>
      </c>
      <c r="P274">
        <v>5202</v>
      </c>
    </row>
    <row r="275" spans="1:16" x14ac:dyDescent="0.3">
      <c r="A275">
        <v>274</v>
      </c>
      <c r="B275" s="1">
        <v>43110</v>
      </c>
      <c r="C275">
        <v>4</v>
      </c>
      <c r="D275">
        <v>0</v>
      </c>
      <c r="E275">
        <v>10</v>
      </c>
      <c r="F275">
        <v>0</v>
      </c>
      <c r="G275">
        <v>6</v>
      </c>
      <c r="H275">
        <v>0</v>
      </c>
      <c r="I275">
        <v>2</v>
      </c>
      <c r="J275">
        <v>16.809999999999999</v>
      </c>
      <c r="K275">
        <v>20.643149999999999</v>
      </c>
      <c r="L275">
        <v>75.375</v>
      </c>
      <c r="M275">
        <v>19.583832000000001</v>
      </c>
      <c r="N275">
        <v>480</v>
      </c>
      <c r="O275">
        <v>1949</v>
      </c>
      <c r="P275">
        <v>2429</v>
      </c>
    </row>
    <row r="276" spans="1:16" x14ac:dyDescent="0.3">
      <c r="A276">
        <v>275</v>
      </c>
      <c r="B276" s="1">
        <v>43141</v>
      </c>
      <c r="C276">
        <v>4</v>
      </c>
      <c r="D276">
        <v>0</v>
      </c>
      <c r="E276">
        <v>10</v>
      </c>
      <c r="F276">
        <v>0</v>
      </c>
      <c r="G276">
        <v>0</v>
      </c>
      <c r="H276">
        <v>0</v>
      </c>
      <c r="I276">
        <v>2</v>
      </c>
      <c r="J276">
        <v>14.623347000000001</v>
      </c>
      <c r="K276">
        <v>17.26585</v>
      </c>
      <c r="L276">
        <v>79.166700000000006</v>
      </c>
      <c r="M276">
        <v>14.874871000000001</v>
      </c>
      <c r="N276">
        <v>616</v>
      </c>
      <c r="O276">
        <v>2302</v>
      </c>
      <c r="P276">
        <v>2918</v>
      </c>
    </row>
    <row r="277" spans="1:16" x14ac:dyDescent="0.3">
      <c r="A277">
        <v>276</v>
      </c>
      <c r="B277" s="1">
        <v>43169</v>
      </c>
      <c r="C277">
        <v>4</v>
      </c>
      <c r="D277">
        <v>0</v>
      </c>
      <c r="E277">
        <v>10</v>
      </c>
      <c r="F277">
        <v>0</v>
      </c>
      <c r="G277">
        <v>1</v>
      </c>
      <c r="H277">
        <v>1</v>
      </c>
      <c r="I277">
        <v>2</v>
      </c>
      <c r="J277">
        <v>15.750847</v>
      </c>
      <c r="K277">
        <v>19.6023</v>
      </c>
      <c r="L277">
        <v>76.083299999999994</v>
      </c>
      <c r="M277">
        <v>5.5841685999999999</v>
      </c>
      <c r="N277">
        <v>330</v>
      </c>
      <c r="O277">
        <v>3240</v>
      </c>
      <c r="P277">
        <v>3570</v>
      </c>
    </row>
    <row r="278" spans="1:16" x14ac:dyDescent="0.3">
      <c r="A278">
        <v>277</v>
      </c>
      <c r="B278" s="1">
        <v>43200</v>
      </c>
      <c r="C278">
        <v>4</v>
      </c>
      <c r="D278">
        <v>0</v>
      </c>
      <c r="E278">
        <v>10</v>
      </c>
      <c r="F278">
        <v>0</v>
      </c>
      <c r="G278">
        <v>2</v>
      </c>
      <c r="H278">
        <v>1</v>
      </c>
      <c r="I278">
        <v>1</v>
      </c>
      <c r="J278">
        <v>19.850847000000002</v>
      </c>
      <c r="K278">
        <v>23.642900000000001</v>
      </c>
      <c r="L278">
        <v>71</v>
      </c>
      <c r="M278">
        <v>13.792218</v>
      </c>
      <c r="N278">
        <v>486</v>
      </c>
      <c r="O278">
        <v>3970</v>
      </c>
      <c r="P278">
        <v>4456</v>
      </c>
    </row>
    <row r="279" spans="1:16" x14ac:dyDescent="0.3">
      <c r="A279">
        <v>278</v>
      </c>
      <c r="B279" s="1">
        <v>43230</v>
      </c>
      <c r="C279">
        <v>4</v>
      </c>
      <c r="D279">
        <v>0</v>
      </c>
      <c r="E279">
        <v>10</v>
      </c>
      <c r="F279">
        <v>0</v>
      </c>
      <c r="G279">
        <v>3</v>
      </c>
      <c r="H279">
        <v>1</v>
      </c>
      <c r="I279">
        <v>1</v>
      </c>
      <c r="J279">
        <v>22.071653000000001</v>
      </c>
      <c r="K279">
        <v>26.3569</v>
      </c>
      <c r="L279">
        <v>64.791700000000006</v>
      </c>
      <c r="M279">
        <v>11.87575</v>
      </c>
      <c r="N279">
        <v>559</v>
      </c>
      <c r="O279">
        <v>4267</v>
      </c>
      <c r="P279">
        <v>4826</v>
      </c>
    </row>
    <row r="280" spans="1:16" x14ac:dyDescent="0.3">
      <c r="A280">
        <v>279</v>
      </c>
      <c r="B280" s="1">
        <v>43261</v>
      </c>
      <c r="C280">
        <v>4</v>
      </c>
      <c r="D280">
        <v>0</v>
      </c>
      <c r="E280">
        <v>10</v>
      </c>
      <c r="F280">
        <v>0</v>
      </c>
      <c r="G280">
        <v>4</v>
      </c>
      <c r="H280">
        <v>1</v>
      </c>
      <c r="I280">
        <v>1</v>
      </c>
      <c r="J280">
        <v>20.260846999999998</v>
      </c>
      <c r="K280">
        <v>24.021249999999998</v>
      </c>
      <c r="L280">
        <v>62.083300000000001</v>
      </c>
      <c r="M280">
        <v>9.0419180000000008</v>
      </c>
      <c r="N280">
        <v>639</v>
      </c>
      <c r="O280">
        <v>4126</v>
      </c>
      <c r="P280">
        <v>4765</v>
      </c>
    </row>
    <row r="281" spans="1:16" x14ac:dyDescent="0.3">
      <c r="A281">
        <v>280</v>
      </c>
      <c r="B281" s="1">
        <v>43291</v>
      </c>
      <c r="C281">
        <v>4</v>
      </c>
      <c r="D281">
        <v>0</v>
      </c>
      <c r="E281">
        <v>10</v>
      </c>
      <c r="F281">
        <v>0</v>
      </c>
      <c r="G281">
        <v>5</v>
      </c>
      <c r="H281">
        <v>1</v>
      </c>
      <c r="I281">
        <v>1</v>
      </c>
      <c r="J281">
        <v>20.944153</v>
      </c>
      <c r="K281">
        <v>25.220199999999998</v>
      </c>
      <c r="L281">
        <v>68.416700000000006</v>
      </c>
      <c r="M281">
        <v>1.5002439000000001</v>
      </c>
      <c r="N281">
        <v>949</v>
      </c>
      <c r="O281">
        <v>4036</v>
      </c>
      <c r="P281">
        <v>4985</v>
      </c>
    </row>
    <row r="282" spans="1:16" x14ac:dyDescent="0.3">
      <c r="A282">
        <v>281</v>
      </c>
      <c r="B282" s="1">
        <v>43322</v>
      </c>
      <c r="C282">
        <v>4</v>
      </c>
      <c r="D282">
        <v>0</v>
      </c>
      <c r="E282">
        <v>10</v>
      </c>
      <c r="F282">
        <v>0</v>
      </c>
      <c r="G282">
        <v>6</v>
      </c>
      <c r="H282">
        <v>0</v>
      </c>
      <c r="I282">
        <v>1</v>
      </c>
      <c r="J282">
        <v>21.388347</v>
      </c>
      <c r="K282">
        <v>25.662099999999999</v>
      </c>
      <c r="L282">
        <v>70.125</v>
      </c>
      <c r="M282">
        <v>3.0420813999999998</v>
      </c>
      <c r="N282">
        <v>2235</v>
      </c>
      <c r="O282">
        <v>3174</v>
      </c>
      <c r="P282">
        <v>5409</v>
      </c>
    </row>
    <row r="283" spans="1:16" x14ac:dyDescent="0.3">
      <c r="A283">
        <v>282</v>
      </c>
      <c r="B283" s="1">
        <v>43353</v>
      </c>
      <c r="C283">
        <v>4</v>
      </c>
      <c r="D283">
        <v>0</v>
      </c>
      <c r="E283">
        <v>10</v>
      </c>
      <c r="F283">
        <v>0</v>
      </c>
      <c r="G283">
        <v>0</v>
      </c>
      <c r="H283">
        <v>0</v>
      </c>
      <c r="I283">
        <v>1</v>
      </c>
      <c r="J283">
        <v>22.174153</v>
      </c>
      <c r="K283">
        <v>26.199149999999999</v>
      </c>
      <c r="L283">
        <v>72.75</v>
      </c>
      <c r="M283">
        <v>4.25115</v>
      </c>
      <c r="N283">
        <v>2397</v>
      </c>
      <c r="O283">
        <v>3114</v>
      </c>
      <c r="P283">
        <v>5511</v>
      </c>
    </row>
    <row r="284" spans="1:16" x14ac:dyDescent="0.3">
      <c r="A284">
        <v>283</v>
      </c>
      <c r="B284" s="1">
        <v>43383</v>
      </c>
      <c r="C284">
        <v>4</v>
      </c>
      <c r="D284">
        <v>0</v>
      </c>
      <c r="E284">
        <v>10</v>
      </c>
      <c r="F284">
        <v>1</v>
      </c>
      <c r="G284">
        <v>1</v>
      </c>
      <c r="H284">
        <v>0</v>
      </c>
      <c r="I284">
        <v>1</v>
      </c>
      <c r="J284">
        <v>23.404153000000001</v>
      </c>
      <c r="K284">
        <v>27.146249999999998</v>
      </c>
      <c r="L284">
        <v>73.375</v>
      </c>
      <c r="M284">
        <v>2.8343813999999998</v>
      </c>
      <c r="N284">
        <v>1514</v>
      </c>
      <c r="O284">
        <v>3603</v>
      </c>
      <c r="P284">
        <v>5117</v>
      </c>
    </row>
    <row r="285" spans="1:16" x14ac:dyDescent="0.3">
      <c r="A285">
        <v>284</v>
      </c>
      <c r="B285" s="1">
        <v>43414</v>
      </c>
      <c r="C285">
        <v>4</v>
      </c>
      <c r="D285">
        <v>0</v>
      </c>
      <c r="E285">
        <v>10</v>
      </c>
      <c r="F285">
        <v>0</v>
      </c>
      <c r="G285">
        <v>2</v>
      </c>
      <c r="H285">
        <v>1</v>
      </c>
      <c r="I285">
        <v>2</v>
      </c>
      <c r="J285">
        <v>23.233346999999998</v>
      </c>
      <c r="K285">
        <v>27.3048</v>
      </c>
      <c r="L285">
        <v>80.875</v>
      </c>
      <c r="M285">
        <v>9.5838140000000003</v>
      </c>
      <c r="N285">
        <v>667</v>
      </c>
      <c r="O285">
        <v>3896</v>
      </c>
      <c r="P285">
        <v>4563</v>
      </c>
    </row>
    <row r="286" spans="1:16" x14ac:dyDescent="0.3">
      <c r="A286">
        <v>285</v>
      </c>
      <c r="B286" s="1">
        <v>43444</v>
      </c>
      <c r="C286">
        <v>4</v>
      </c>
      <c r="D286">
        <v>0</v>
      </c>
      <c r="E286">
        <v>10</v>
      </c>
      <c r="F286">
        <v>0</v>
      </c>
      <c r="G286">
        <v>3</v>
      </c>
      <c r="H286">
        <v>1</v>
      </c>
      <c r="I286">
        <v>3</v>
      </c>
      <c r="J286">
        <v>22.276653</v>
      </c>
      <c r="K286">
        <v>25.885850000000001</v>
      </c>
      <c r="L286">
        <v>90.625</v>
      </c>
      <c r="M286">
        <v>16.626049999999999</v>
      </c>
      <c r="N286">
        <v>217</v>
      </c>
      <c r="O286">
        <v>2199</v>
      </c>
      <c r="P286">
        <v>2416</v>
      </c>
    </row>
    <row r="287" spans="1:16" x14ac:dyDescent="0.3">
      <c r="A287">
        <v>286</v>
      </c>
      <c r="B287" t="s">
        <v>181</v>
      </c>
      <c r="C287">
        <v>4</v>
      </c>
      <c r="D287">
        <v>0</v>
      </c>
      <c r="E287">
        <v>10</v>
      </c>
      <c r="F287">
        <v>0</v>
      </c>
      <c r="G287">
        <v>4</v>
      </c>
      <c r="H287">
        <v>1</v>
      </c>
      <c r="I287">
        <v>2</v>
      </c>
      <c r="J287">
        <v>24.155847000000001</v>
      </c>
      <c r="K287">
        <v>27.590199999999999</v>
      </c>
      <c r="L287">
        <v>89.666700000000006</v>
      </c>
      <c r="M287">
        <v>9.4997290000000003</v>
      </c>
      <c r="N287">
        <v>290</v>
      </c>
      <c r="O287">
        <v>2623</v>
      </c>
      <c r="P287">
        <v>2913</v>
      </c>
    </row>
    <row r="288" spans="1:16" x14ac:dyDescent="0.3">
      <c r="A288">
        <v>287</v>
      </c>
      <c r="B288" t="s">
        <v>182</v>
      </c>
      <c r="C288">
        <v>4</v>
      </c>
      <c r="D288">
        <v>0</v>
      </c>
      <c r="E288">
        <v>10</v>
      </c>
      <c r="F288">
        <v>0</v>
      </c>
      <c r="G288">
        <v>5</v>
      </c>
      <c r="H288">
        <v>1</v>
      </c>
      <c r="I288">
        <v>2</v>
      </c>
      <c r="J288">
        <v>22.584153000000001</v>
      </c>
      <c r="K288">
        <v>26.483750000000001</v>
      </c>
      <c r="L288">
        <v>71.625</v>
      </c>
      <c r="M288">
        <v>15.000161</v>
      </c>
      <c r="N288">
        <v>529</v>
      </c>
      <c r="O288">
        <v>3115</v>
      </c>
      <c r="P288">
        <v>3644</v>
      </c>
    </row>
    <row r="289" spans="1:16" x14ac:dyDescent="0.3">
      <c r="A289">
        <v>288</v>
      </c>
      <c r="B289" t="s">
        <v>183</v>
      </c>
      <c r="C289">
        <v>4</v>
      </c>
      <c r="D289">
        <v>0</v>
      </c>
      <c r="E289">
        <v>10</v>
      </c>
      <c r="F289">
        <v>0</v>
      </c>
      <c r="G289">
        <v>6</v>
      </c>
      <c r="H289">
        <v>0</v>
      </c>
      <c r="I289">
        <v>1</v>
      </c>
      <c r="J289">
        <v>20.773347000000001</v>
      </c>
      <c r="K289">
        <v>24.936250000000001</v>
      </c>
      <c r="L289">
        <v>48.333300000000001</v>
      </c>
      <c r="M289">
        <v>17.291561000000002</v>
      </c>
      <c r="N289">
        <v>1899</v>
      </c>
      <c r="O289">
        <v>3318</v>
      </c>
      <c r="P289">
        <v>5217</v>
      </c>
    </row>
    <row r="290" spans="1:16" x14ac:dyDescent="0.3">
      <c r="A290">
        <v>289</v>
      </c>
      <c r="B290" t="s">
        <v>184</v>
      </c>
      <c r="C290">
        <v>4</v>
      </c>
      <c r="D290">
        <v>0</v>
      </c>
      <c r="E290">
        <v>10</v>
      </c>
      <c r="F290">
        <v>0</v>
      </c>
      <c r="G290">
        <v>0</v>
      </c>
      <c r="H290">
        <v>0</v>
      </c>
      <c r="I290">
        <v>1</v>
      </c>
      <c r="J290">
        <v>20.978346999999999</v>
      </c>
      <c r="K290">
        <v>25.157699999999998</v>
      </c>
      <c r="L290">
        <v>48.666699999999999</v>
      </c>
      <c r="M290">
        <v>18.875039000000001</v>
      </c>
      <c r="N290">
        <v>1748</v>
      </c>
      <c r="O290">
        <v>3293</v>
      </c>
      <c r="P290">
        <v>5041</v>
      </c>
    </row>
    <row r="291" spans="1:16" x14ac:dyDescent="0.3">
      <c r="A291">
        <v>290</v>
      </c>
      <c r="B291" t="s">
        <v>185</v>
      </c>
      <c r="C291">
        <v>4</v>
      </c>
      <c r="D291">
        <v>0</v>
      </c>
      <c r="E291">
        <v>10</v>
      </c>
      <c r="F291">
        <v>0</v>
      </c>
      <c r="G291">
        <v>1</v>
      </c>
      <c r="H291">
        <v>1</v>
      </c>
      <c r="I291">
        <v>1</v>
      </c>
      <c r="J291">
        <v>21.900846999999999</v>
      </c>
      <c r="K291">
        <v>25.536249999999999</v>
      </c>
      <c r="L291">
        <v>57.958300000000001</v>
      </c>
      <c r="M291">
        <v>11.750393000000001</v>
      </c>
      <c r="N291">
        <v>713</v>
      </c>
      <c r="O291">
        <v>3857</v>
      </c>
      <c r="P291">
        <v>4570</v>
      </c>
    </row>
    <row r="292" spans="1:16" x14ac:dyDescent="0.3">
      <c r="A292">
        <v>291</v>
      </c>
      <c r="B292" t="s">
        <v>186</v>
      </c>
      <c r="C292">
        <v>4</v>
      </c>
      <c r="D292">
        <v>0</v>
      </c>
      <c r="E292">
        <v>10</v>
      </c>
      <c r="F292">
        <v>0</v>
      </c>
      <c r="G292">
        <v>2</v>
      </c>
      <c r="H292">
        <v>1</v>
      </c>
      <c r="I292">
        <v>2</v>
      </c>
      <c r="J292">
        <v>21.8325</v>
      </c>
      <c r="K292">
        <v>26.136050000000001</v>
      </c>
      <c r="L292">
        <v>70.166700000000006</v>
      </c>
      <c r="M292">
        <v>7.3758290000000004</v>
      </c>
      <c r="N292">
        <v>637</v>
      </c>
      <c r="O292">
        <v>4111</v>
      </c>
      <c r="P292">
        <v>4748</v>
      </c>
    </row>
    <row r="293" spans="1:16" x14ac:dyDescent="0.3">
      <c r="A293">
        <v>292</v>
      </c>
      <c r="B293" t="s">
        <v>187</v>
      </c>
      <c r="C293">
        <v>4</v>
      </c>
      <c r="D293">
        <v>0</v>
      </c>
      <c r="E293">
        <v>10</v>
      </c>
      <c r="F293">
        <v>0</v>
      </c>
      <c r="G293">
        <v>3</v>
      </c>
      <c r="H293">
        <v>1</v>
      </c>
      <c r="I293">
        <v>3</v>
      </c>
      <c r="J293">
        <v>22.211299</v>
      </c>
      <c r="K293">
        <v>25.692399999999999</v>
      </c>
      <c r="L293">
        <v>89.521699999999996</v>
      </c>
      <c r="M293">
        <v>16.303712999999998</v>
      </c>
      <c r="N293">
        <v>254</v>
      </c>
      <c r="O293">
        <v>2170</v>
      </c>
      <c r="P293">
        <v>2424</v>
      </c>
    </row>
    <row r="294" spans="1:16" x14ac:dyDescent="0.3">
      <c r="A294">
        <v>293</v>
      </c>
      <c r="B294" t="s">
        <v>188</v>
      </c>
      <c r="C294">
        <v>4</v>
      </c>
      <c r="D294">
        <v>0</v>
      </c>
      <c r="E294">
        <v>10</v>
      </c>
      <c r="F294">
        <v>0</v>
      </c>
      <c r="G294">
        <v>4</v>
      </c>
      <c r="H294">
        <v>1</v>
      </c>
      <c r="I294">
        <v>1</v>
      </c>
      <c r="J294">
        <v>19.509153000000001</v>
      </c>
      <c r="K294">
        <v>23.326250000000002</v>
      </c>
      <c r="L294">
        <v>63.625</v>
      </c>
      <c r="M294">
        <v>28.292425000000001</v>
      </c>
      <c r="N294">
        <v>471</v>
      </c>
      <c r="O294">
        <v>3724</v>
      </c>
      <c r="P294">
        <v>4195</v>
      </c>
    </row>
    <row r="295" spans="1:16" x14ac:dyDescent="0.3">
      <c r="A295">
        <v>294</v>
      </c>
      <c r="B295" t="s">
        <v>189</v>
      </c>
      <c r="C295">
        <v>4</v>
      </c>
      <c r="D295">
        <v>0</v>
      </c>
      <c r="E295">
        <v>10</v>
      </c>
      <c r="F295">
        <v>0</v>
      </c>
      <c r="G295">
        <v>5</v>
      </c>
      <c r="H295">
        <v>1</v>
      </c>
      <c r="I295">
        <v>1</v>
      </c>
      <c r="J295">
        <v>17.5275</v>
      </c>
      <c r="K295">
        <v>21.1798</v>
      </c>
      <c r="L295">
        <v>57.416699999999999</v>
      </c>
      <c r="M295">
        <v>14.833532</v>
      </c>
      <c r="N295">
        <v>676</v>
      </c>
      <c r="O295">
        <v>3628</v>
      </c>
      <c r="P295">
        <v>4304</v>
      </c>
    </row>
    <row r="296" spans="1:16" x14ac:dyDescent="0.3">
      <c r="A296">
        <v>295</v>
      </c>
      <c r="B296" t="s">
        <v>190</v>
      </c>
      <c r="C296">
        <v>4</v>
      </c>
      <c r="D296">
        <v>0</v>
      </c>
      <c r="E296">
        <v>10</v>
      </c>
      <c r="F296">
        <v>0</v>
      </c>
      <c r="G296">
        <v>6</v>
      </c>
      <c r="H296">
        <v>0</v>
      </c>
      <c r="I296">
        <v>1</v>
      </c>
      <c r="J296">
        <v>17.322500000000002</v>
      </c>
      <c r="K296">
        <v>21.2746</v>
      </c>
      <c r="L296">
        <v>62.916699999999999</v>
      </c>
      <c r="M296">
        <v>6.2086689000000002</v>
      </c>
      <c r="N296">
        <v>1499</v>
      </c>
      <c r="O296">
        <v>2809</v>
      </c>
      <c r="P296">
        <v>4308</v>
      </c>
    </row>
    <row r="297" spans="1:16" x14ac:dyDescent="0.3">
      <c r="A297">
        <v>296</v>
      </c>
      <c r="B297" t="s">
        <v>191</v>
      </c>
      <c r="C297">
        <v>4</v>
      </c>
      <c r="D297">
        <v>0</v>
      </c>
      <c r="E297">
        <v>10</v>
      </c>
      <c r="F297">
        <v>0</v>
      </c>
      <c r="G297">
        <v>0</v>
      </c>
      <c r="H297">
        <v>0</v>
      </c>
      <c r="I297">
        <v>1</v>
      </c>
      <c r="J297">
        <v>17.288347000000002</v>
      </c>
      <c r="K297">
        <v>21.11665</v>
      </c>
      <c r="L297">
        <v>74.125</v>
      </c>
      <c r="M297">
        <v>6.6673375000000004</v>
      </c>
      <c r="N297">
        <v>1619</v>
      </c>
      <c r="O297">
        <v>2762</v>
      </c>
      <c r="P297">
        <v>4381</v>
      </c>
    </row>
    <row r="298" spans="1:16" x14ac:dyDescent="0.3">
      <c r="A298">
        <v>297</v>
      </c>
      <c r="B298" t="s">
        <v>192</v>
      </c>
      <c r="C298">
        <v>4</v>
      </c>
      <c r="D298">
        <v>0</v>
      </c>
      <c r="E298">
        <v>10</v>
      </c>
      <c r="F298">
        <v>0</v>
      </c>
      <c r="G298">
        <v>1</v>
      </c>
      <c r="H298">
        <v>1</v>
      </c>
      <c r="I298">
        <v>1</v>
      </c>
      <c r="J298">
        <v>18.996652999999998</v>
      </c>
      <c r="K298">
        <v>22.853349999999999</v>
      </c>
      <c r="L298">
        <v>77.208299999999994</v>
      </c>
      <c r="M298">
        <v>7.9590639999999997</v>
      </c>
      <c r="N298">
        <v>699</v>
      </c>
      <c r="O298">
        <v>3488</v>
      </c>
      <c r="P298">
        <v>4187</v>
      </c>
    </row>
    <row r="299" spans="1:16" x14ac:dyDescent="0.3">
      <c r="A299">
        <v>298</v>
      </c>
      <c r="B299" t="s">
        <v>193</v>
      </c>
      <c r="C299">
        <v>4</v>
      </c>
      <c r="D299">
        <v>0</v>
      </c>
      <c r="E299">
        <v>10</v>
      </c>
      <c r="F299">
        <v>0</v>
      </c>
      <c r="G299">
        <v>2</v>
      </c>
      <c r="H299">
        <v>1</v>
      </c>
      <c r="I299">
        <v>1</v>
      </c>
      <c r="J299">
        <v>19.338346999999999</v>
      </c>
      <c r="K299">
        <v>23.168749999999999</v>
      </c>
      <c r="L299">
        <v>62.291699999999999</v>
      </c>
      <c r="M299">
        <v>11.166086</v>
      </c>
      <c r="N299">
        <v>695</v>
      </c>
      <c r="O299">
        <v>3992</v>
      </c>
      <c r="P299">
        <v>4687</v>
      </c>
    </row>
    <row r="300" spans="1:16" x14ac:dyDescent="0.3">
      <c r="A300">
        <v>299</v>
      </c>
      <c r="B300" t="s">
        <v>194</v>
      </c>
      <c r="C300">
        <v>4</v>
      </c>
      <c r="D300">
        <v>0</v>
      </c>
      <c r="E300">
        <v>10</v>
      </c>
      <c r="F300">
        <v>0</v>
      </c>
      <c r="G300">
        <v>3</v>
      </c>
      <c r="H300">
        <v>1</v>
      </c>
      <c r="I300">
        <v>2</v>
      </c>
      <c r="J300">
        <v>19.850847000000002</v>
      </c>
      <c r="K300">
        <v>23.642299999999999</v>
      </c>
      <c r="L300">
        <v>72.041700000000006</v>
      </c>
      <c r="M300">
        <v>9.9590139999999998</v>
      </c>
      <c r="N300">
        <v>404</v>
      </c>
      <c r="O300">
        <v>3490</v>
      </c>
      <c r="P300">
        <v>3894</v>
      </c>
    </row>
    <row r="301" spans="1:16" x14ac:dyDescent="0.3">
      <c r="A301">
        <v>300</v>
      </c>
      <c r="B301" t="s">
        <v>195</v>
      </c>
      <c r="C301">
        <v>4</v>
      </c>
      <c r="D301">
        <v>0</v>
      </c>
      <c r="E301">
        <v>10</v>
      </c>
      <c r="F301">
        <v>0</v>
      </c>
      <c r="G301">
        <v>4</v>
      </c>
      <c r="H301">
        <v>1</v>
      </c>
      <c r="I301">
        <v>2</v>
      </c>
      <c r="J301">
        <v>19.27</v>
      </c>
      <c r="K301">
        <v>22.8523</v>
      </c>
      <c r="L301">
        <v>81.291700000000006</v>
      </c>
      <c r="M301">
        <v>13.250121</v>
      </c>
      <c r="N301">
        <v>240</v>
      </c>
      <c r="O301">
        <v>2419</v>
      </c>
      <c r="P301">
        <v>2659</v>
      </c>
    </row>
    <row r="302" spans="1:16" x14ac:dyDescent="0.3">
      <c r="A302">
        <v>301</v>
      </c>
      <c r="B302" t="s">
        <v>196</v>
      </c>
      <c r="C302">
        <v>4</v>
      </c>
      <c r="D302">
        <v>0</v>
      </c>
      <c r="E302">
        <v>10</v>
      </c>
      <c r="F302">
        <v>0</v>
      </c>
      <c r="G302">
        <v>5</v>
      </c>
      <c r="H302">
        <v>1</v>
      </c>
      <c r="I302">
        <v>2</v>
      </c>
      <c r="J302">
        <v>13.564152999999999</v>
      </c>
      <c r="K302">
        <v>15.9406</v>
      </c>
      <c r="L302">
        <v>58.583300000000001</v>
      </c>
      <c r="M302">
        <v>15.375093</v>
      </c>
      <c r="N302">
        <v>456</v>
      </c>
      <c r="O302">
        <v>3291</v>
      </c>
      <c r="P302">
        <v>3747</v>
      </c>
    </row>
    <row r="303" spans="1:16" x14ac:dyDescent="0.3">
      <c r="A303">
        <v>302</v>
      </c>
      <c r="B303" t="s">
        <v>197</v>
      </c>
      <c r="C303">
        <v>4</v>
      </c>
      <c r="D303">
        <v>0</v>
      </c>
      <c r="E303">
        <v>10</v>
      </c>
      <c r="F303">
        <v>0</v>
      </c>
      <c r="G303">
        <v>6</v>
      </c>
      <c r="H303">
        <v>0</v>
      </c>
      <c r="I303">
        <v>3</v>
      </c>
      <c r="J303">
        <v>10.420847</v>
      </c>
      <c r="K303">
        <v>11.39565</v>
      </c>
      <c r="L303">
        <v>88.25</v>
      </c>
      <c r="M303">
        <v>23.541857</v>
      </c>
      <c r="N303">
        <v>57</v>
      </c>
      <c r="O303">
        <v>570</v>
      </c>
      <c r="P303">
        <v>627</v>
      </c>
    </row>
    <row r="304" spans="1:16" x14ac:dyDescent="0.3">
      <c r="A304">
        <v>303</v>
      </c>
      <c r="B304" t="s">
        <v>198</v>
      </c>
      <c r="C304">
        <v>4</v>
      </c>
      <c r="D304">
        <v>0</v>
      </c>
      <c r="E304">
        <v>10</v>
      </c>
      <c r="F304">
        <v>0</v>
      </c>
      <c r="G304">
        <v>0</v>
      </c>
      <c r="H304">
        <v>0</v>
      </c>
      <c r="I304">
        <v>1</v>
      </c>
      <c r="J304">
        <v>13.085846999999999</v>
      </c>
      <c r="K304">
        <v>16.06645</v>
      </c>
      <c r="L304">
        <v>62.375</v>
      </c>
      <c r="M304">
        <v>11.833339</v>
      </c>
      <c r="N304">
        <v>885</v>
      </c>
      <c r="O304">
        <v>2446</v>
      </c>
      <c r="P304">
        <v>3331</v>
      </c>
    </row>
    <row r="305" spans="1:16" x14ac:dyDescent="0.3">
      <c r="A305">
        <v>304</v>
      </c>
      <c r="B305" t="s">
        <v>199</v>
      </c>
      <c r="C305">
        <v>4</v>
      </c>
      <c r="D305">
        <v>0</v>
      </c>
      <c r="E305">
        <v>10</v>
      </c>
      <c r="F305">
        <v>0</v>
      </c>
      <c r="G305">
        <v>1</v>
      </c>
      <c r="H305">
        <v>1</v>
      </c>
      <c r="I305">
        <v>1</v>
      </c>
      <c r="J305">
        <v>13.94</v>
      </c>
      <c r="K305">
        <v>17.803149999999999</v>
      </c>
      <c r="L305">
        <v>70.333299999999994</v>
      </c>
      <c r="M305">
        <v>7.1254499999999998</v>
      </c>
      <c r="N305">
        <v>362</v>
      </c>
      <c r="O305">
        <v>3307</v>
      </c>
      <c r="P305">
        <v>3669</v>
      </c>
    </row>
    <row r="306" spans="1:16" x14ac:dyDescent="0.3">
      <c r="A306">
        <v>305</v>
      </c>
      <c r="B306" s="1">
        <v>43111</v>
      </c>
      <c r="C306">
        <v>4</v>
      </c>
      <c r="D306">
        <v>0</v>
      </c>
      <c r="E306">
        <v>11</v>
      </c>
      <c r="F306">
        <v>0</v>
      </c>
      <c r="G306">
        <v>2</v>
      </c>
      <c r="H306">
        <v>1</v>
      </c>
      <c r="I306">
        <v>1</v>
      </c>
      <c r="J306">
        <v>16.434152999999998</v>
      </c>
      <c r="K306">
        <v>19.854399999999998</v>
      </c>
      <c r="L306">
        <v>68.375</v>
      </c>
      <c r="M306">
        <v>9.0832569999999997</v>
      </c>
      <c r="N306">
        <v>410</v>
      </c>
      <c r="O306">
        <v>3658</v>
      </c>
      <c r="P306">
        <v>4068</v>
      </c>
    </row>
    <row r="307" spans="1:16" x14ac:dyDescent="0.3">
      <c r="A307">
        <v>306</v>
      </c>
      <c r="B307" s="1">
        <v>43142</v>
      </c>
      <c r="C307">
        <v>4</v>
      </c>
      <c r="D307">
        <v>0</v>
      </c>
      <c r="E307">
        <v>11</v>
      </c>
      <c r="F307">
        <v>0</v>
      </c>
      <c r="G307">
        <v>3</v>
      </c>
      <c r="H307">
        <v>1</v>
      </c>
      <c r="I307">
        <v>1</v>
      </c>
      <c r="J307">
        <v>15.477499999999999</v>
      </c>
      <c r="K307">
        <v>19.50665</v>
      </c>
      <c r="L307">
        <v>71.875</v>
      </c>
      <c r="M307">
        <v>5.5001439000000003</v>
      </c>
      <c r="N307">
        <v>370</v>
      </c>
      <c r="O307">
        <v>3816</v>
      </c>
      <c r="P307">
        <v>4186</v>
      </c>
    </row>
    <row r="308" spans="1:16" x14ac:dyDescent="0.3">
      <c r="A308">
        <v>307</v>
      </c>
      <c r="B308" s="1">
        <v>43170</v>
      </c>
      <c r="C308">
        <v>4</v>
      </c>
      <c r="D308">
        <v>0</v>
      </c>
      <c r="E308">
        <v>11</v>
      </c>
      <c r="F308">
        <v>0</v>
      </c>
      <c r="G308">
        <v>4</v>
      </c>
      <c r="H308">
        <v>1</v>
      </c>
      <c r="I308">
        <v>1</v>
      </c>
      <c r="J308">
        <v>16.741652999999999</v>
      </c>
      <c r="K308">
        <v>20.296050000000001</v>
      </c>
      <c r="L308">
        <v>70.208299999999994</v>
      </c>
      <c r="M308">
        <v>9.1667389999999997</v>
      </c>
      <c r="N308">
        <v>318</v>
      </c>
      <c r="O308">
        <v>3656</v>
      </c>
      <c r="P308">
        <v>3974</v>
      </c>
    </row>
    <row r="309" spans="1:16" x14ac:dyDescent="0.3">
      <c r="A309">
        <v>308</v>
      </c>
      <c r="B309" s="1">
        <v>43201</v>
      </c>
      <c r="C309">
        <v>4</v>
      </c>
      <c r="D309">
        <v>0</v>
      </c>
      <c r="E309">
        <v>11</v>
      </c>
      <c r="F309">
        <v>0</v>
      </c>
      <c r="G309">
        <v>5</v>
      </c>
      <c r="H309">
        <v>1</v>
      </c>
      <c r="I309">
        <v>2</v>
      </c>
      <c r="J309">
        <v>16.536653000000001</v>
      </c>
      <c r="K309">
        <v>20.169599999999999</v>
      </c>
      <c r="L309">
        <v>62.25</v>
      </c>
      <c r="M309">
        <v>18.209192999999999</v>
      </c>
      <c r="N309">
        <v>470</v>
      </c>
      <c r="O309">
        <v>3576</v>
      </c>
      <c r="P309">
        <v>4046</v>
      </c>
    </row>
    <row r="310" spans="1:16" x14ac:dyDescent="0.3">
      <c r="A310">
        <v>309</v>
      </c>
      <c r="B310" s="1">
        <v>43231</v>
      </c>
      <c r="C310">
        <v>4</v>
      </c>
      <c r="D310">
        <v>0</v>
      </c>
      <c r="E310">
        <v>11</v>
      </c>
      <c r="F310">
        <v>0</v>
      </c>
      <c r="G310">
        <v>6</v>
      </c>
      <c r="H310">
        <v>0</v>
      </c>
      <c r="I310">
        <v>1</v>
      </c>
      <c r="J310">
        <v>13.393347</v>
      </c>
      <c r="K310">
        <v>16.192699999999999</v>
      </c>
      <c r="L310">
        <v>51.916699999999999</v>
      </c>
      <c r="M310">
        <v>12.667154</v>
      </c>
      <c r="N310">
        <v>1156</v>
      </c>
      <c r="O310">
        <v>2770</v>
      </c>
      <c r="P310">
        <v>3926</v>
      </c>
    </row>
    <row r="311" spans="1:16" x14ac:dyDescent="0.3">
      <c r="A311">
        <v>310</v>
      </c>
      <c r="B311" s="1">
        <v>43262</v>
      </c>
      <c r="C311">
        <v>4</v>
      </c>
      <c r="D311">
        <v>0</v>
      </c>
      <c r="E311">
        <v>11</v>
      </c>
      <c r="F311">
        <v>0</v>
      </c>
      <c r="G311">
        <v>0</v>
      </c>
      <c r="H311">
        <v>0</v>
      </c>
      <c r="I311">
        <v>1</v>
      </c>
      <c r="J311">
        <v>14.281653</v>
      </c>
      <c r="K311">
        <v>18.117899999999999</v>
      </c>
      <c r="L311">
        <v>73.458299999999994</v>
      </c>
      <c r="M311">
        <v>6.1676314000000003</v>
      </c>
      <c r="N311">
        <v>952</v>
      </c>
      <c r="O311">
        <v>2697</v>
      </c>
      <c r="P311">
        <v>3649</v>
      </c>
    </row>
    <row r="312" spans="1:16" x14ac:dyDescent="0.3">
      <c r="A312">
        <v>311</v>
      </c>
      <c r="B312" s="1">
        <v>43292</v>
      </c>
      <c r="C312">
        <v>4</v>
      </c>
      <c r="D312">
        <v>0</v>
      </c>
      <c r="E312">
        <v>11</v>
      </c>
      <c r="F312">
        <v>0</v>
      </c>
      <c r="G312">
        <v>1</v>
      </c>
      <c r="H312">
        <v>1</v>
      </c>
      <c r="I312">
        <v>1</v>
      </c>
      <c r="J312">
        <v>16.195</v>
      </c>
      <c r="K312">
        <v>20.04355</v>
      </c>
      <c r="L312">
        <v>75.875</v>
      </c>
      <c r="M312">
        <v>3.8340749999999999</v>
      </c>
      <c r="N312">
        <v>373</v>
      </c>
      <c r="O312">
        <v>3662</v>
      </c>
      <c r="P312">
        <v>4035</v>
      </c>
    </row>
    <row r="313" spans="1:16" x14ac:dyDescent="0.3">
      <c r="A313">
        <v>312</v>
      </c>
      <c r="B313" s="1">
        <v>43323</v>
      </c>
      <c r="C313">
        <v>4</v>
      </c>
      <c r="D313">
        <v>0</v>
      </c>
      <c r="E313">
        <v>11</v>
      </c>
      <c r="F313">
        <v>0</v>
      </c>
      <c r="G313">
        <v>2</v>
      </c>
      <c r="H313">
        <v>1</v>
      </c>
      <c r="I313">
        <v>1</v>
      </c>
      <c r="J313">
        <v>16.741652999999999</v>
      </c>
      <c r="K313">
        <v>20.612300000000001</v>
      </c>
      <c r="L313">
        <v>72.166700000000006</v>
      </c>
      <c r="M313">
        <v>4.6255125000000001</v>
      </c>
      <c r="N313">
        <v>376</v>
      </c>
      <c r="O313">
        <v>3829</v>
      </c>
      <c r="P313">
        <v>4205</v>
      </c>
    </row>
    <row r="314" spans="1:16" x14ac:dyDescent="0.3">
      <c r="A314">
        <v>313</v>
      </c>
      <c r="B314" s="1">
        <v>43354</v>
      </c>
      <c r="C314">
        <v>4</v>
      </c>
      <c r="D314">
        <v>0</v>
      </c>
      <c r="E314">
        <v>11</v>
      </c>
      <c r="F314">
        <v>0</v>
      </c>
      <c r="G314">
        <v>3</v>
      </c>
      <c r="H314">
        <v>1</v>
      </c>
      <c r="I314">
        <v>1</v>
      </c>
      <c r="J314">
        <v>16.399999999999999</v>
      </c>
      <c r="K314">
        <v>20.453949999999999</v>
      </c>
      <c r="L314">
        <v>75.833299999999994</v>
      </c>
      <c r="M314">
        <v>4.1671186000000002</v>
      </c>
      <c r="N314">
        <v>305</v>
      </c>
      <c r="O314">
        <v>3804</v>
      </c>
      <c r="P314">
        <v>4109</v>
      </c>
    </row>
    <row r="315" spans="1:16" x14ac:dyDescent="0.3">
      <c r="A315">
        <v>314</v>
      </c>
      <c r="B315" s="1">
        <v>43384</v>
      </c>
      <c r="C315">
        <v>4</v>
      </c>
      <c r="D315">
        <v>0</v>
      </c>
      <c r="E315">
        <v>11</v>
      </c>
      <c r="F315">
        <v>0</v>
      </c>
      <c r="G315">
        <v>4</v>
      </c>
      <c r="H315">
        <v>1</v>
      </c>
      <c r="I315">
        <v>2</v>
      </c>
      <c r="J315">
        <v>15.58</v>
      </c>
      <c r="K315">
        <v>18.686050000000002</v>
      </c>
      <c r="L315">
        <v>81.333299999999994</v>
      </c>
      <c r="M315">
        <v>12.667489</v>
      </c>
      <c r="N315">
        <v>190</v>
      </c>
      <c r="O315">
        <v>2743</v>
      </c>
      <c r="P315">
        <v>2933</v>
      </c>
    </row>
    <row r="316" spans="1:16" x14ac:dyDescent="0.3">
      <c r="A316">
        <v>315</v>
      </c>
      <c r="B316" s="1">
        <v>43415</v>
      </c>
      <c r="C316">
        <v>4</v>
      </c>
      <c r="D316">
        <v>0</v>
      </c>
      <c r="E316">
        <v>11</v>
      </c>
      <c r="F316">
        <v>1</v>
      </c>
      <c r="G316">
        <v>5</v>
      </c>
      <c r="H316">
        <v>0</v>
      </c>
      <c r="I316">
        <v>1</v>
      </c>
      <c r="J316">
        <v>13.290846999999999</v>
      </c>
      <c r="K316">
        <v>15.34085</v>
      </c>
      <c r="L316">
        <v>44.625</v>
      </c>
      <c r="M316">
        <v>21.083224999999999</v>
      </c>
      <c r="N316">
        <v>440</v>
      </c>
      <c r="O316">
        <v>2928</v>
      </c>
      <c r="P316">
        <v>3368</v>
      </c>
    </row>
    <row r="317" spans="1:16" x14ac:dyDescent="0.3">
      <c r="A317">
        <v>316</v>
      </c>
      <c r="B317" s="1">
        <v>43445</v>
      </c>
      <c r="C317">
        <v>4</v>
      </c>
      <c r="D317">
        <v>0</v>
      </c>
      <c r="E317">
        <v>11</v>
      </c>
      <c r="F317">
        <v>0</v>
      </c>
      <c r="G317">
        <v>6</v>
      </c>
      <c r="H317">
        <v>0</v>
      </c>
      <c r="I317">
        <v>1</v>
      </c>
      <c r="J317">
        <v>14.623347000000001</v>
      </c>
      <c r="K317">
        <v>17.897099999999998</v>
      </c>
      <c r="L317">
        <v>55.291699999999999</v>
      </c>
      <c r="M317">
        <v>14.208154</v>
      </c>
      <c r="N317">
        <v>1275</v>
      </c>
      <c r="O317">
        <v>2792</v>
      </c>
      <c r="P317">
        <v>4067</v>
      </c>
    </row>
    <row r="318" spans="1:16" x14ac:dyDescent="0.3">
      <c r="A318">
        <v>317</v>
      </c>
      <c r="B318" t="s">
        <v>200</v>
      </c>
      <c r="C318">
        <v>4</v>
      </c>
      <c r="D318">
        <v>0</v>
      </c>
      <c r="E318">
        <v>11</v>
      </c>
      <c r="F318">
        <v>0</v>
      </c>
      <c r="G318">
        <v>0</v>
      </c>
      <c r="H318">
        <v>0</v>
      </c>
      <c r="I318">
        <v>1</v>
      </c>
      <c r="J318">
        <v>18.074152999999999</v>
      </c>
      <c r="K318">
        <v>21.5275</v>
      </c>
      <c r="L318">
        <v>45.833300000000001</v>
      </c>
      <c r="M318">
        <v>18.875306999999999</v>
      </c>
      <c r="N318">
        <v>1004</v>
      </c>
      <c r="O318">
        <v>2713</v>
      </c>
      <c r="P318">
        <v>3717</v>
      </c>
    </row>
    <row r="319" spans="1:16" x14ac:dyDescent="0.3">
      <c r="A319">
        <v>318</v>
      </c>
      <c r="B319" t="s">
        <v>201</v>
      </c>
      <c r="C319">
        <v>4</v>
      </c>
      <c r="D319">
        <v>0</v>
      </c>
      <c r="E319">
        <v>11</v>
      </c>
      <c r="F319">
        <v>0</v>
      </c>
      <c r="G319">
        <v>1</v>
      </c>
      <c r="H319">
        <v>1</v>
      </c>
      <c r="I319">
        <v>1</v>
      </c>
      <c r="J319">
        <v>21.73</v>
      </c>
      <c r="K319">
        <v>26.230599999999999</v>
      </c>
      <c r="L319">
        <v>58.708300000000001</v>
      </c>
      <c r="M319">
        <v>20.541931999999999</v>
      </c>
      <c r="N319">
        <v>595</v>
      </c>
      <c r="O319">
        <v>3891</v>
      </c>
      <c r="P319">
        <v>4486</v>
      </c>
    </row>
    <row r="320" spans="1:16" x14ac:dyDescent="0.3">
      <c r="A320">
        <v>319</v>
      </c>
      <c r="B320" t="s">
        <v>202</v>
      </c>
      <c r="C320">
        <v>4</v>
      </c>
      <c r="D320">
        <v>0</v>
      </c>
      <c r="E320">
        <v>11</v>
      </c>
      <c r="F320">
        <v>0</v>
      </c>
      <c r="G320">
        <v>2</v>
      </c>
      <c r="H320">
        <v>1</v>
      </c>
      <c r="I320">
        <v>2</v>
      </c>
      <c r="J320">
        <v>21.73</v>
      </c>
      <c r="K320">
        <v>25.37895</v>
      </c>
      <c r="L320">
        <v>68.875</v>
      </c>
      <c r="M320">
        <v>13.375411</v>
      </c>
      <c r="N320">
        <v>449</v>
      </c>
      <c r="O320">
        <v>3746</v>
      </c>
      <c r="P320">
        <v>4195</v>
      </c>
    </row>
    <row r="321" spans="1:16" x14ac:dyDescent="0.3">
      <c r="A321">
        <v>320</v>
      </c>
      <c r="B321" t="s">
        <v>203</v>
      </c>
      <c r="C321">
        <v>4</v>
      </c>
      <c r="D321">
        <v>0</v>
      </c>
      <c r="E321">
        <v>11</v>
      </c>
      <c r="F321">
        <v>0</v>
      </c>
      <c r="G321">
        <v>3</v>
      </c>
      <c r="H321">
        <v>1</v>
      </c>
      <c r="I321">
        <v>3</v>
      </c>
      <c r="J321">
        <v>18.723347</v>
      </c>
      <c r="K321">
        <v>22.599399999999999</v>
      </c>
      <c r="L321">
        <v>93</v>
      </c>
      <c r="M321">
        <v>9.1675430000000002</v>
      </c>
      <c r="N321">
        <v>145</v>
      </c>
      <c r="O321">
        <v>1672</v>
      </c>
      <c r="P321">
        <v>1817</v>
      </c>
    </row>
    <row r="322" spans="1:16" x14ac:dyDescent="0.3">
      <c r="A322">
        <v>321</v>
      </c>
      <c r="B322" t="s">
        <v>204</v>
      </c>
      <c r="C322">
        <v>4</v>
      </c>
      <c r="D322">
        <v>0</v>
      </c>
      <c r="E322">
        <v>11</v>
      </c>
      <c r="F322">
        <v>0</v>
      </c>
      <c r="G322">
        <v>4</v>
      </c>
      <c r="H322">
        <v>1</v>
      </c>
      <c r="I322">
        <v>2</v>
      </c>
      <c r="J322">
        <v>14.008347000000001</v>
      </c>
      <c r="K322">
        <v>16.161049999999999</v>
      </c>
      <c r="L322">
        <v>57.583300000000001</v>
      </c>
      <c r="M322">
        <v>20.459254000000001</v>
      </c>
      <c r="N322">
        <v>139</v>
      </c>
      <c r="O322">
        <v>2914</v>
      </c>
      <c r="P322">
        <v>3053</v>
      </c>
    </row>
    <row r="323" spans="1:16" x14ac:dyDescent="0.3">
      <c r="A323">
        <v>322</v>
      </c>
      <c r="B323" t="s">
        <v>205</v>
      </c>
      <c r="C323">
        <v>4</v>
      </c>
      <c r="D323">
        <v>0</v>
      </c>
      <c r="E323">
        <v>11</v>
      </c>
      <c r="F323">
        <v>0</v>
      </c>
      <c r="G323">
        <v>5</v>
      </c>
      <c r="H323">
        <v>1</v>
      </c>
      <c r="I323">
        <v>1</v>
      </c>
      <c r="J323">
        <v>11.240847</v>
      </c>
      <c r="K323">
        <v>13.636049999999999</v>
      </c>
      <c r="L323">
        <v>41</v>
      </c>
      <c r="M323">
        <v>11.291710999999999</v>
      </c>
      <c r="N323">
        <v>245</v>
      </c>
      <c r="O323">
        <v>3147</v>
      </c>
      <c r="P323">
        <v>3392</v>
      </c>
    </row>
    <row r="324" spans="1:16" x14ac:dyDescent="0.3">
      <c r="A324">
        <v>323</v>
      </c>
      <c r="B324" t="s">
        <v>206</v>
      </c>
      <c r="C324">
        <v>4</v>
      </c>
      <c r="D324">
        <v>0</v>
      </c>
      <c r="E324">
        <v>11</v>
      </c>
      <c r="F324">
        <v>0</v>
      </c>
      <c r="G324">
        <v>6</v>
      </c>
      <c r="H324">
        <v>0</v>
      </c>
      <c r="I324">
        <v>1</v>
      </c>
      <c r="J324">
        <v>13.495846999999999</v>
      </c>
      <c r="K324">
        <v>16.224150000000002</v>
      </c>
      <c r="L324">
        <v>50.208300000000001</v>
      </c>
      <c r="M324">
        <v>15.041232000000001</v>
      </c>
      <c r="N324">
        <v>943</v>
      </c>
      <c r="O324">
        <v>2720</v>
      </c>
      <c r="P324">
        <v>3663</v>
      </c>
    </row>
    <row r="325" spans="1:16" x14ac:dyDescent="0.3">
      <c r="A325">
        <v>324</v>
      </c>
      <c r="B325" t="s">
        <v>207</v>
      </c>
      <c r="C325">
        <v>4</v>
      </c>
      <c r="D325">
        <v>0</v>
      </c>
      <c r="E325">
        <v>11</v>
      </c>
      <c r="F325">
        <v>0</v>
      </c>
      <c r="G325">
        <v>0</v>
      </c>
      <c r="H325">
        <v>0</v>
      </c>
      <c r="I325">
        <v>2</v>
      </c>
      <c r="J325">
        <v>18.996652999999998</v>
      </c>
      <c r="K325">
        <v>22.852900000000002</v>
      </c>
      <c r="L325">
        <v>68.458299999999994</v>
      </c>
      <c r="M325">
        <v>12.45865</v>
      </c>
      <c r="N325">
        <v>787</v>
      </c>
      <c r="O325">
        <v>2733</v>
      </c>
      <c r="P325">
        <v>3520</v>
      </c>
    </row>
    <row r="326" spans="1:16" x14ac:dyDescent="0.3">
      <c r="A326">
        <v>325</v>
      </c>
      <c r="B326" t="s">
        <v>208</v>
      </c>
      <c r="C326">
        <v>4</v>
      </c>
      <c r="D326">
        <v>0</v>
      </c>
      <c r="E326">
        <v>11</v>
      </c>
      <c r="F326">
        <v>0</v>
      </c>
      <c r="G326">
        <v>1</v>
      </c>
      <c r="H326">
        <v>1</v>
      </c>
      <c r="I326">
        <v>3</v>
      </c>
      <c r="J326">
        <v>18.3475</v>
      </c>
      <c r="K326">
        <v>22.2531</v>
      </c>
      <c r="L326">
        <v>91</v>
      </c>
      <c r="M326">
        <v>9.2496179999999999</v>
      </c>
      <c r="N326">
        <v>220</v>
      </c>
      <c r="O326">
        <v>2545</v>
      </c>
      <c r="P326">
        <v>2765</v>
      </c>
    </row>
    <row r="327" spans="1:16" x14ac:dyDescent="0.3">
      <c r="A327">
        <v>326</v>
      </c>
      <c r="B327" t="s">
        <v>209</v>
      </c>
      <c r="C327">
        <v>4</v>
      </c>
      <c r="D327">
        <v>0</v>
      </c>
      <c r="E327">
        <v>11</v>
      </c>
      <c r="F327">
        <v>0</v>
      </c>
      <c r="G327">
        <v>2</v>
      </c>
      <c r="H327">
        <v>1</v>
      </c>
      <c r="I327">
        <v>3</v>
      </c>
      <c r="J327">
        <v>17.083347</v>
      </c>
      <c r="K327">
        <v>21.084800000000001</v>
      </c>
      <c r="L327">
        <v>96.25</v>
      </c>
      <c r="M327">
        <v>7.9590639999999997</v>
      </c>
      <c r="N327">
        <v>69</v>
      </c>
      <c r="O327">
        <v>1538</v>
      </c>
      <c r="P327">
        <v>1607</v>
      </c>
    </row>
    <row r="328" spans="1:16" x14ac:dyDescent="0.3">
      <c r="A328">
        <v>327</v>
      </c>
      <c r="B328" t="s">
        <v>210</v>
      </c>
      <c r="C328">
        <v>4</v>
      </c>
      <c r="D328">
        <v>0</v>
      </c>
      <c r="E328">
        <v>11</v>
      </c>
      <c r="F328">
        <v>0</v>
      </c>
      <c r="G328">
        <v>3</v>
      </c>
      <c r="H328">
        <v>1</v>
      </c>
      <c r="I328">
        <v>2</v>
      </c>
      <c r="J328">
        <v>18.074152999999999</v>
      </c>
      <c r="K328">
        <v>21.52685</v>
      </c>
      <c r="L328">
        <v>75.791700000000006</v>
      </c>
      <c r="M328">
        <v>22.500274999999998</v>
      </c>
      <c r="N328">
        <v>112</v>
      </c>
      <c r="O328">
        <v>2454</v>
      </c>
      <c r="P328">
        <v>2566</v>
      </c>
    </row>
    <row r="329" spans="1:16" x14ac:dyDescent="0.3">
      <c r="A329">
        <v>328</v>
      </c>
      <c r="B329" t="s">
        <v>211</v>
      </c>
      <c r="C329">
        <v>4</v>
      </c>
      <c r="D329">
        <v>0</v>
      </c>
      <c r="E329">
        <v>11</v>
      </c>
      <c r="F329">
        <v>1</v>
      </c>
      <c r="G329">
        <v>4</v>
      </c>
      <c r="H329">
        <v>0</v>
      </c>
      <c r="I329">
        <v>1</v>
      </c>
      <c r="J329">
        <v>15.306653000000001</v>
      </c>
      <c r="K329">
        <v>18.623550000000002</v>
      </c>
      <c r="L329">
        <v>54.916699999999999</v>
      </c>
      <c r="M329">
        <v>11.209368</v>
      </c>
      <c r="N329">
        <v>560</v>
      </c>
      <c r="O329">
        <v>935</v>
      </c>
      <c r="P329">
        <v>1495</v>
      </c>
    </row>
    <row r="330" spans="1:16" x14ac:dyDescent="0.3">
      <c r="A330">
        <v>329</v>
      </c>
      <c r="B330" t="s">
        <v>212</v>
      </c>
      <c r="C330">
        <v>4</v>
      </c>
      <c r="D330">
        <v>0</v>
      </c>
      <c r="E330">
        <v>11</v>
      </c>
      <c r="F330">
        <v>0</v>
      </c>
      <c r="G330">
        <v>5</v>
      </c>
      <c r="H330">
        <v>1</v>
      </c>
      <c r="I330">
        <v>1</v>
      </c>
      <c r="J330">
        <v>15.375</v>
      </c>
      <c r="K330">
        <v>19.033550000000002</v>
      </c>
      <c r="L330">
        <v>64.375</v>
      </c>
      <c r="M330">
        <v>6.6260186000000001</v>
      </c>
      <c r="N330">
        <v>1095</v>
      </c>
      <c r="O330">
        <v>1697</v>
      </c>
      <c r="P330">
        <v>2792</v>
      </c>
    </row>
    <row r="331" spans="1:16" x14ac:dyDescent="0.3">
      <c r="A331">
        <v>330</v>
      </c>
      <c r="B331" t="s">
        <v>213</v>
      </c>
      <c r="C331">
        <v>4</v>
      </c>
      <c r="D331">
        <v>0</v>
      </c>
      <c r="E331">
        <v>11</v>
      </c>
      <c r="F331">
        <v>0</v>
      </c>
      <c r="G331">
        <v>6</v>
      </c>
      <c r="H331">
        <v>0</v>
      </c>
      <c r="I331">
        <v>1</v>
      </c>
      <c r="J331">
        <v>15.409153</v>
      </c>
      <c r="K331">
        <v>19.254349999999999</v>
      </c>
      <c r="L331">
        <v>68.166700000000006</v>
      </c>
      <c r="M331">
        <v>4.5841935999999999</v>
      </c>
      <c r="N331">
        <v>1249</v>
      </c>
      <c r="O331">
        <v>1819</v>
      </c>
      <c r="P331">
        <v>3068</v>
      </c>
    </row>
    <row r="332" spans="1:16" x14ac:dyDescent="0.3">
      <c r="A332">
        <v>331</v>
      </c>
      <c r="B332" t="s">
        <v>214</v>
      </c>
      <c r="C332">
        <v>4</v>
      </c>
      <c r="D332">
        <v>0</v>
      </c>
      <c r="E332">
        <v>11</v>
      </c>
      <c r="F332">
        <v>0</v>
      </c>
      <c r="G332">
        <v>0</v>
      </c>
      <c r="H332">
        <v>0</v>
      </c>
      <c r="I332">
        <v>1</v>
      </c>
      <c r="J332">
        <v>18.825847</v>
      </c>
      <c r="K332">
        <v>22.79</v>
      </c>
      <c r="L332">
        <v>69.833299999999994</v>
      </c>
      <c r="M332">
        <v>13.999917999999999</v>
      </c>
      <c r="N332">
        <v>810</v>
      </c>
      <c r="O332">
        <v>2261</v>
      </c>
      <c r="P332">
        <v>3071</v>
      </c>
    </row>
    <row r="333" spans="1:16" x14ac:dyDescent="0.3">
      <c r="A333">
        <v>332</v>
      </c>
      <c r="B333" t="s">
        <v>215</v>
      </c>
      <c r="C333">
        <v>4</v>
      </c>
      <c r="D333">
        <v>0</v>
      </c>
      <c r="E333">
        <v>11</v>
      </c>
      <c r="F333">
        <v>0</v>
      </c>
      <c r="G333">
        <v>1</v>
      </c>
      <c r="H333">
        <v>1</v>
      </c>
      <c r="I333">
        <v>1</v>
      </c>
      <c r="J333">
        <v>20.642598</v>
      </c>
      <c r="K333">
        <v>24.5061</v>
      </c>
      <c r="L333">
        <v>74.304299999999998</v>
      </c>
      <c r="M333">
        <v>9.5221739999999997</v>
      </c>
      <c r="N333">
        <v>253</v>
      </c>
      <c r="O333">
        <v>3614</v>
      </c>
      <c r="P333">
        <v>3867</v>
      </c>
    </row>
    <row r="334" spans="1:16" x14ac:dyDescent="0.3">
      <c r="A334">
        <v>333</v>
      </c>
      <c r="B334" t="s">
        <v>216</v>
      </c>
      <c r="C334">
        <v>4</v>
      </c>
      <c r="D334">
        <v>0</v>
      </c>
      <c r="E334">
        <v>11</v>
      </c>
      <c r="F334">
        <v>0</v>
      </c>
      <c r="G334">
        <v>2</v>
      </c>
      <c r="H334">
        <v>1</v>
      </c>
      <c r="I334">
        <v>2</v>
      </c>
      <c r="J334">
        <v>18.791653</v>
      </c>
      <c r="K334">
        <v>22.568750000000001</v>
      </c>
      <c r="L334">
        <v>83.083299999999994</v>
      </c>
      <c r="M334">
        <v>17.292164</v>
      </c>
      <c r="N334">
        <v>96</v>
      </c>
      <c r="O334">
        <v>2818</v>
      </c>
      <c r="P334">
        <v>2914</v>
      </c>
    </row>
    <row r="335" spans="1:16" x14ac:dyDescent="0.3">
      <c r="A335">
        <v>334</v>
      </c>
      <c r="B335" t="s">
        <v>217</v>
      </c>
      <c r="C335">
        <v>4</v>
      </c>
      <c r="D335">
        <v>0</v>
      </c>
      <c r="E335">
        <v>11</v>
      </c>
      <c r="F335">
        <v>0</v>
      </c>
      <c r="G335">
        <v>3</v>
      </c>
      <c r="H335">
        <v>1</v>
      </c>
      <c r="I335">
        <v>1</v>
      </c>
      <c r="J335">
        <v>13.324999999999999</v>
      </c>
      <c r="K335">
        <v>15.56105</v>
      </c>
      <c r="L335">
        <v>61.333300000000001</v>
      </c>
      <c r="M335">
        <v>18.167586</v>
      </c>
      <c r="N335">
        <v>188</v>
      </c>
      <c r="O335">
        <v>3425</v>
      </c>
      <c r="P335">
        <v>3613</v>
      </c>
    </row>
    <row r="336" spans="1:16" x14ac:dyDescent="0.3">
      <c r="A336">
        <v>335</v>
      </c>
      <c r="B336" s="1">
        <v>43112</v>
      </c>
      <c r="C336">
        <v>4</v>
      </c>
      <c r="D336">
        <v>0</v>
      </c>
      <c r="E336">
        <v>12</v>
      </c>
      <c r="F336">
        <v>0</v>
      </c>
      <c r="G336">
        <v>4</v>
      </c>
      <c r="H336">
        <v>1</v>
      </c>
      <c r="I336">
        <v>1</v>
      </c>
      <c r="J336">
        <v>12.8125</v>
      </c>
      <c r="K336">
        <v>15.277699999999999</v>
      </c>
      <c r="L336">
        <v>52.458300000000001</v>
      </c>
      <c r="M336">
        <v>14.750586</v>
      </c>
      <c r="N336">
        <v>182</v>
      </c>
      <c r="O336">
        <v>3545</v>
      </c>
      <c r="P336">
        <v>3727</v>
      </c>
    </row>
    <row r="337" spans="1:16" x14ac:dyDescent="0.3">
      <c r="A337">
        <v>336</v>
      </c>
      <c r="B337" s="1">
        <v>43143</v>
      </c>
      <c r="C337">
        <v>4</v>
      </c>
      <c r="D337">
        <v>0</v>
      </c>
      <c r="E337">
        <v>12</v>
      </c>
      <c r="F337">
        <v>0</v>
      </c>
      <c r="G337">
        <v>5</v>
      </c>
      <c r="H337">
        <v>1</v>
      </c>
      <c r="I337">
        <v>1</v>
      </c>
      <c r="J337">
        <v>12.880846999999999</v>
      </c>
      <c r="K337">
        <v>16.571650000000002</v>
      </c>
      <c r="L337">
        <v>62.583300000000001</v>
      </c>
      <c r="M337">
        <v>6.7505179999999996</v>
      </c>
      <c r="N337">
        <v>268</v>
      </c>
      <c r="O337">
        <v>3672</v>
      </c>
      <c r="P337">
        <v>3940</v>
      </c>
    </row>
    <row r="338" spans="1:16" x14ac:dyDescent="0.3">
      <c r="A338">
        <v>337</v>
      </c>
      <c r="B338" s="1">
        <v>43171</v>
      </c>
      <c r="C338">
        <v>4</v>
      </c>
      <c r="D338">
        <v>0</v>
      </c>
      <c r="E338">
        <v>12</v>
      </c>
      <c r="F338">
        <v>0</v>
      </c>
      <c r="G338">
        <v>6</v>
      </c>
      <c r="H338">
        <v>0</v>
      </c>
      <c r="I338">
        <v>1</v>
      </c>
      <c r="J338">
        <v>12.265847000000001</v>
      </c>
      <c r="K338">
        <v>15.530200000000001</v>
      </c>
      <c r="L338">
        <v>61.291699999999999</v>
      </c>
      <c r="M338">
        <v>6.4174810999999998</v>
      </c>
      <c r="N338">
        <v>706</v>
      </c>
      <c r="O338">
        <v>2908</v>
      </c>
      <c r="P338">
        <v>3614</v>
      </c>
    </row>
    <row r="339" spans="1:16" x14ac:dyDescent="0.3">
      <c r="A339">
        <v>338</v>
      </c>
      <c r="B339" s="1">
        <v>43202</v>
      </c>
      <c r="C339">
        <v>4</v>
      </c>
      <c r="D339">
        <v>0</v>
      </c>
      <c r="E339">
        <v>12</v>
      </c>
      <c r="F339">
        <v>0</v>
      </c>
      <c r="G339">
        <v>0</v>
      </c>
      <c r="H339">
        <v>0</v>
      </c>
      <c r="I339">
        <v>1</v>
      </c>
      <c r="J339">
        <v>13.564152999999999</v>
      </c>
      <c r="K339">
        <v>17.454999999999998</v>
      </c>
      <c r="L339">
        <v>77.583299999999994</v>
      </c>
      <c r="M339">
        <v>5.6252060999999998</v>
      </c>
      <c r="N339">
        <v>634</v>
      </c>
      <c r="O339">
        <v>2851</v>
      </c>
      <c r="P339">
        <v>3485</v>
      </c>
    </row>
    <row r="340" spans="1:16" x14ac:dyDescent="0.3">
      <c r="A340">
        <v>339</v>
      </c>
      <c r="B340" s="1">
        <v>43232</v>
      </c>
      <c r="C340">
        <v>4</v>
      </c>
      <c r="D340">
        <v>0</v>
      </c>
      <c r="E340">
        <v>12</v>
      </c>
      <c r="F340">
        <v>0</v>
      </c>
      <c r="G340">
        <v>1</v>
      </c>
      <c r="H340">
        <v>1</v>
      </c>
      <c r="I340">
        <v>2</v>
      </c>
      <c r="J340">
        <v>15.819153</v>
      </c>
      <c r="K340">
        <v>19.696249999999999</v>
      </c>
      <c r="L340">
        <v>82.708299999999994</v>
      </c>
      <c r="M340">
        <v>4.1679560999999996</v>
      </c>
      <c r="N340">
        <v>233</v>
      </c>
      <c r="O340">
        <v>3578</v>
      </c>
      <c r="P340">
        <v>3811</v>
      </c>
    </row>
    <row r="341" spans="1:16" x14ac:dyDescent="0.3">
      <c r="A341">
        <v>340</v>
      </c>
      <c r="B341" s="1">
        <v>43263</v>
      </c>
      <c r="C341">
        <v>4</v>
      </c>
      <c r="D341">
        <v>0</v>
      </c>
      <c r="E341">
        <v>12</v>
      </c>
      <c r="F341">
        <v>0</v>
      </c>
      <c r="G341">
        <v>2</v>
      </c>
      <c r="H341">
        <v>1</v>
      </c>
      <c r="I341">
        <v>3</v>
      </c>
      <c r="J341">
        <v>18.962499999999999</v>
      </c>
      <c r="K341">
        <v>22.82</v>
      </c>
      <c r="L341">
        <v>94.958299999999994</v>
      </c>
      <c r="M341">
        <v>15.583061000000001</v>
      </c>
      <c r="N341">
        <v>126</v>
      </c>
      <c r="O341">
        <v>2468</v>
      </c>
      <c r="P341">
        <v>2594</v>
      </c>
    </row>
    <row r="342" spans="1:16" x14ac:dyDescent="0.3">
      <c r="A342">
        <v>341</v>
      </c>
      <c r="B342" s="1">
        <v>43293</v>
      </c>
      <c r="C342">
        <v>4</v>
      </c>
      <c r="D342">
        <v>0</v>
      </c>
      <c r="E342">
        <v>12</v>
      </c>
      <c r="F342">
        <v>0</v>
      </c>
      <c r="G342">
        <v>3</v>
      </c>
      <c r="H342">
        <v>1</v>
      </c>
      <c r="I342">
        <v>3</v>
      </c>
      <c r="J342">
        <v>16.809999999999999</v>
      </c>
      <c r="K342">
        <v>20.0123</v>
      </c>
      <c r="L342">
        <v>97.041700000000006</v>
      </c>
      <c r="M342">
        <v>17.833725000000001</v>
      </c>
      <c r="N342">
        <v>50</v>
      </c>
      <c r="O342">
        <v>655</v>
      </c>
      <c r="P342">
        <v>705</v>
      </c>
    </row>
    <row r="343" spans="1:16" x14ac:dyDescent="0.3">
      <c r="A343">
        <v>342</v>
      </c>
      <c r="B343" s="1">
        <v>43324</v>
      </c>
      <c r="C343">
        <v>4</v>
      </c>
      <c r="D343">
        <v>0</v>
      </c>
      <c r="E343">
        <v>12</v>
      </c>
      <c r="F343">
        <v>0</v>
      </c>
      <c r="G343">
        <v>4</v>
      </c>
      <c r="H343">
        <v>1</v>
      </c>
      <c r="I343">
        <v>1</v>
      </c>
      <c r="J343">
        <v>10.899153</v>
      </c>
      <c r="K343">
        <v>12.8469</v>
      </c>
      <c r="L343">
        <v>58</v>
      </c>
      <c r="M343">
        <v>16.083886</v>
      </c>
      <c r="N343">
        <v>150</v>
      </c>
      <c r="O343">
        <v>3172</v>
      </c>
      <c r="P343">
        <v>3322</v>
      </c>
    </row>
    <row r="344" spans="1:16" x14ac:dyDescent="0.3">
      <c r="A344">
        <v>343</v>
      </c>
      <c r="B344" s="1">
        <v>43355</v>
      </c>
      <c r="C344">
        <v>4</v>
      </c>
      <c r="D344">
        <v>0</v>
      </c>
      <c r="E344">
        <v>12</v>
      </c>
      <c r="F344">
        <v>0</v>
      </c>
      <c r="G344">
        <v>5</v>
      </c>
      <c r="H344">
        <v>1</v>
      </c>
      <c r="I344">
        <v>1</v>
      </c>
      <c r="J344">
        <v>11.924153</v>
      </c>
      <c r="K344">
        <v>15.8771</v>
      </c>
      <c r="L344">
        <v>69.583299999999994</v>
      </c>
      <c r="M344">
        <v>5.5420189000000004</v>
      </c>
      <c r="N344">
        <v>261</v>
      </c>
      <c r="O344">
        <v>3359</v>
      </c>
      <c r="P344">
        <v>3620</v>
      </c>
    </row>
    <row r="345" spans="1:16" x14ac:dyDescent="0.3">
      <c r="A345">
        <v>344</v>
      </c>
      <c r="B345" s="1">
        <v>43385</v>
      </c>
      <c r="C345">
        <v>4</v>
      </c>
      <c r="D345">
        <v>0</v>
      </c>
      <c r="E345">
        <v>12</v>
      </c>
      <c r="F345">
        <v>0</v>
      </c>
      <c r="G345">
        <v>6</v>
      </c>
      <c r="H345">
        <v>0</v>
      </c>
      <c r="I345">
        <v>1</v>
      </c>
      <c r="J345">
        <v>11.275</v>
      </c>
      <c r="K345">
        <v>13.320600000000001</v>
      </c>
      <c r="L345">
        <v>50.75</v>
      </c>
      <c r="M345">
        <v>15.625807</v>
      </c>
      <c r="N345">
        <v>502</v>
      </c>
      <c r="O345">
        <v>2688</v>
      </c>
      <c r="P345">
        <v>3190</v>
      </c>
    </row>
    <row r="346" spans="1:16" x14ac:dyDescent="0.3">
      <c r="A346">
        <v>345</v>
      </c>
      <c r="B346" s="1">
        <v>43416</v>
      </c>
      <c r="C346">
        <v>4</v>
      </c>
      <c r="D346">
        <v>0</v>
      </c>
      <c r="E346">
        <v>12</v>
      </c>
      <c r="F346">
        <v>0</v>
      </c>
      <c r="G346">
        <v>0</v>
      </c>
      <c r="H346">
        <v>0</v>
      </c>
      <c r="I346">
        <v>1</v>
      </c>
      <c r="J346">
        <v>9.0541529999999995</v>
      </c>
      <c r="K346">
        <v>12.6577</v>
      </c>
      <c r="L346">
        <v>49</v>
      </c>
      <c r="M346">
        <v>4.4582939000000001</v>
      </c>
      <c r="N346">
        <v>377</v>
      </c>
      <c r="O346">
        <v>2366</v>
      </c>
      <c r="P346">
        <v>2743</v>
      </c>
    </row>
    <row r="347" spans="1:16" x14ac:dyDescent="0.3">
      <c r="A347">
        <v>346</v>
      </c>
      <c r="B347" s="1">
        <v>43446</v>
      </c>
      <c r="C347">
        <v>4</v>
      </c>
      <c r="D347">
        <v>0</v>
      </c>
      <c r="E347">
        <v>12</v>
      </c>
      <c r="F347">
        <v>0</v>
      </c>
      <c r="G347">
        <v>1</v>
      </c>
      <c r="H347">
        <v>1</v>
      </c>
      <c r="I347">
        <v>1</v>
      </c>
      <c r="J347">
        <v>9.7716530000000006</v>
      </c>
      <c r="K347">
        <v>13.5098</v>
      </c>
      <c r="L347">
        <v>67.083299999999994</v>
      </c>
      <c r="M347">
        <v>4.25115</v>
      </c>
      <c r="N347">
        <v>143</v>
      </c>
      <c r="O347">
        <v>3167</v>
      </c>
      <c r="P347">
        <v>3310</v>
      </c>
    </row>
    <row r="348" spans="1:16" x14ac:dyDescent="0.3">
      <c r="A348">
        <v>347</v>
      </c>
      <c r="B348" t="s">
        <v>218</v>
      </c>
      <c r="C348">
        <v>4</v>
      </c>
      <c r="D348">
        <v>0</v>
      </c>
      <c r="E348">
        <v>12</v>
      </c>
      <c r="F348">
        <v>0</v>
      </c>
      <c r="G348">
        <v>2</v>
      </c>
      <c r="H348">
        <v>1</v>
      </c>
      <c r="I348">
        <v>1</v>
      </c>
      <c r="J348">
        <v>11.5825</v>
      </c>
      <c r="K348">
        <v>15.056900000000001</v>
      </c>
      <c r="L348">
        <v>59</v>
      </c>
      <c r="M348">
        <v>9.4168500000000002</v>
      </c>
      <c r="N348">
        <v>155</v>
      </c>
      <c r="O348">
        <v>3368</v>
      </c>
      <c r="P348">
        <v>3523</v>
      </c>
    </row>
    <row r="349" spans="1:16" x14ac:dyDescent="0.3">
      <c r="A349">
        <v>348</v>
      </c>
      <c r="B349" t="s">
        <v>219</v>
      </c>
      <c r="C349">
        <v>4</v>
      </c>
      <c r="D349">
        <v>0</v>
      </c>
      <c r="E349">
        <v>12</v>
      </c>
      <c r="F349">
        <v>0</v>
      </c>
      <c r="G349">
        <v>3</v>
      </c>
      <c r="H349">
        <v>1</v>
      </c>
      <c r="I349">
        <v>2</v>
      </c>
      <c r="J349">
        <v>13.0175</v>
      </c>
      <c r="K349">
        <v>16.918099999999999</v>
      </c>
      <c r="L349">
        <v>66.375</v>
      </c>
      <c r="M349">
        <v>4.0842061000000003</v>
      </c>
      <c r="N349">
        <v>178</v>
      </c>
      <c r="O349">
        <v>3562</v>
      </c>
      <c r="P349">
        <v>3740</v>
      </c>
    </row>
    <row r="350" spans="1:16" x14ac:dyDescent="0.3">
      <c r="A350">
        <v>349</v>
      </c>
      <c r="B350" t="s">
        <v>220</v>
      </c>
      <c r="C350">
        <v>4</v>
      </c>
      <c r="D350">
        <v>0</v>
      </c>
      <c r="E350">
        <v>12</v>
      </c>
      <c r="F350">
        <v>0</v>
      </c>
      <c r="G350">
        <v>4</v>
      </c>
      <c r="H350">
        <v>1</v>
      </c>
      <c r="I350">
        <v>2</v>
      </c>
      <c r="J350">
        <v>17.322500000000002</v>
      </c>
      <c r="K350">
        <v>20.61185</v>
      </c>
      <c r="L350">
        <v>63.416699999999999</v>
      </c>
      <c r="M350">
        <v>17.958814</v>
      </c>
      <c r="N350">
        <v>181</v>
      </c>
      <c r="O350">
        <v>3528</v>
      </c>
      <c r="P350">
        <v>3709</v>
      </c>
    </row>
    <row r="351" spans="1:16" x14ac:dyDescent="0.3">
      <c r="A351">
        <v>350</v>
      </c>
      <c r="B351" t="s">
        <v>221</v>
      </c>
      <c r="C351">
        <v>4</v>
      </c>
      <c r="D351">
        <v>0</v>
      </c>
      <c r="E351">
        <v>12</v>
      </c>
      <c r="F351">
        <v>0</v>
      </c>
      <c r="G351">
        <v>5</v>
      </c>
      <c r="H351">
        <v>1</v>
      </c>
      <c r="I351">
        <v>2</v>
      </c>
      <c r="J351">
        <v>15.375</v>
      </c>
      <c r="K351">
        <v>17.991250000000001</v>
      </c>
      <c r="L351">
        <v>50.041699999999999</v>
      </c>
      <c r="M351">
        <v>17.458525000000002</v>
      </c>
      <c r="N351">
        <v>178</v>
      </c>
      <c r="O351">
        <v>3399</v>
      </c>
      <c r="P351">
        <v>3577</v>
      </c>
    </row>
    <row r="352" spans="1:16" x14ac:dyDescent="0.3">
      <c r="A352">
        <v>351</v>
      </c>
      <c r="B352" t="s">
        <v>222</v>
      </c>
      <c r="C352">
        <v>4</v>
      </c>
      <c r="D352">
        <v>0</v>
      </c>
      <c r="E352">
        <v>12</v>
      </c>
      <c r="F352">
        <v>0</v>
      </c>
      <c r="G352">
        <v>6</v>
      </c>
      <c r="H352">
        <v>0</v>
      </c>
      <c r="I352">
        <v>2</v>
      </c>
      <c r="J352">
        <v>10.591653000000001</v>
      </c>
      <c r="K352">
        <v>12.46855</v>
      </c>
      <c r="L352">
        <v>56.083300000000001</v>
      </c>
      <c r="M352">
        <v>16.292189</v>
      </c>
      <c r="N352">
        <v>275</v>
      </c>
      <c r="O352">
        <v>2464</v>
      </c>
      <c r="P352">
        <v>2739</v>
      </c>
    </row>
    <row r="353" spans="1:16" x14ac:dyDescent="0.3">
      <c r="A353">
        <v>352</v>
      </c>
      <c r="B353" t="s">
        <v>223</v>
      </c>
      <c r="C353">
        <v>4</v>
      </c>
      <c r="D353">
        <v>0</v>
      </c>
      <c r="E353">
        <v>12</v>
      </c>
      <c r="F353">
        <v>0</v>
      </c>
      <c r="G353">
        <v>0</v>
      </c>
      <c r="H353">
        <v>0</v>
      </c>
      <c r="I353">
        <v>1</v>
      </c>
      <c r="J353">
        <v>9.7716530000000006</v>
      </c>
      <c r="K353">
        <v>12.27895</v>
      </c>
      <c r="L353">
        <v>58.625</v>
      </c>
      <c r="M353">
        <v>11.375192999999999</v>
      </c>
      <c r="N353">
        <v>220</v>
      </c>
      <c r="O353">
        <v>2211</v>
      </c>
      <c r="P353">
        <v>2431</v>
      </c>
    </row>
    <row r="354" spans="1:16" x14ac:dyDescent="0.3">
      <c r="A354">
        <v>353</v>
      </c>
      <c r="B354" t="s">
        <v>224</v>
      </c>
      <c r="C354">
        <v>4</v>
      </c>
      <c r="D354">
        <v>0</v>
      </c>
      <c r="E354">
        <v>12</v>
      </c>
      <c r="F354">
        <v>0</v>
      </c>
      <c r="G354">
        <v>1</v>
      </c>
      <c r="H354">
        <v>1</v>
      </c>
      <c r="I354">
        <v>1</v>
      </c>
      <c r="J354">
        <v>11.343347</v>
      </c>
      <c r="K354">
        <v>14.04665</v>
      </c>
      <c r="L354">
        <v>63.75</v>
      </c>
      <c r="M354">
        <v>11.584032000000001</v>
      </c>
      <c r="N354">
        <v>260</v>
      </c>
      <c r="O354">
        <v>3143</v>
      </c>
      <c r="P354">
        <v>3403</v>
      </c>
    </row>
    <row r="355" spans="1:16" x14ac:dyDescent="0.3">
      <c r="A355">
        <v>354</v>
      </c>
      <c r="B355" t="s">
        <v>225</v>
      </c>
      <c r="C355">
        <v>4</v>
      </c>
      <c r="D355">
        <v>0</v>
      </c>
      <c r="E355">
        <v>12</v>
      </c>
      <c r="F355">
        <v>0</v>
      </c>
      <c r="G355">
        <v>2</v>
      </c>
      <c r="H355">
        <v>1</v>
      </c>
      <c r="I355">
        <v>2</v>
      </c>
      <c r="J355">
        <v>15.819153</v>
      </c>
      <c r="K355">
        <v>19.822700000000001</v>
      </c>
      <c r="L355">
        <v>59.541699999999999</v>
      </c>
      <c r="M355">
        <v>4.1252436000000001</v>
      </c>
      <c r="N355">
        <v>216</v>
      </c>
      <c r="O355">
        <v>3534</v>
      </c>
      <c r="P355">
        <v>3750</v>
      </c>
    </row>
    <row r="356" spans="1:16" x14ac:dyDescent="0.3">
      <c r="A356">
        <v>355</v>
      </c>
      <c r="B356" t="s">
        <v>226</v>
      </c>
      <c r="C356">
        <v>1</v>
      </c>
      <c r="D356">
        <v>0</v>
      </c>
      <c r="E356">
        <v>12</v>
      </c>
      <c r="F356">
        <v>0</v>
      </c>
      <c r="G356">
        <v>3</v>
      </c>
      <c r="H356">
        <v>1</v>
      </c>
      <c r="I356">
        <v>2</v>
      </c>
      <c r="J356">
        <v>17.561653</v>
      </c>
      <c r="K356">
        <v>21.400849999999998</v>
      </c>
      <c r="L356">
        <v>85.833299999999994</v>
      </c>
      <c r="M356">
        <v>14.8338</v>
      </c>
      <c r="N356">
        <v>107</v>
      </c>
      <c r="O356">
        <v>2553</v>
      </c>
      <c r="P356">
        <v>2660</v>
      </c>
    </row>
    <row r="357" spans="1:16" x14ac:dyDescent="0.3">
      <c r="A357">
        <v>356</v>
      </c>
      <c r="B357" t="s">
        <v>227</v>
      </c>
      <c r="C357">
        <v>1</v>
      </c>
      <c r="D357">
        <v>0</v>
      </c>
      <c r="E357">
        <v>12</v>
      </c>
      <c r="F357">
        <v>0</v>
      </c>
      <c r="G357">
        <v>4</v>
      </c>
      <c r="H357">
        <v>1</v>
      </c>
      <c r="I357">
        <v>2</v>
      </c>
      <c r="J357">
        <v>17.356653000000001</v>
      </c>
      <c r="K357">
        <v>21.306049999999999</v>
      </c>
      <c r="L357">
        <v>75.75</v>
      </c>
      <c r="M357">
        <v>3.1674250000000002</v>
      </c>
      <c r="N357">
        <v>227</v>
      </c>
      <c r="O357">
        <v>2841</v>
      </c>
      <c r="P357">
        <v>3068</v>
      </c>
    </row>
    <row r="358" spans="1:16" x14ac:dyDescent="0.3">
      <c r="A358">
        <v>357</v>
      </c>
      <c r="B358" t="s">
        <v>228</v>
      </c>
      <c r="C358">
        <v>1</v>
      </c>
      <c r="D358">
        <v>0</v>
      </c>
      <c r="E358">
        <v>12</v>
      </c>
      <c r="F358">
        <v>0</v>
      </c>
      <c r="G358">
        <v>5</v>
      </c>
      <c r="H358">
        <v>1</v>
      </c>
      <c r="I358">
        <v>1</v>
      </c>
      <c r="J358">
        <v>15.306653000000001</v>
      </c>
      <c r="K358">
        <v>18.87565</v>
      </c>
      <c r="L358">
        <v>68.625</v>
      </c>
      <c r="M358">
        <v>18.374482</v>
      </c>
      <c r="N358">
        <v>163</v>
      </c>
      <c r="O358">
        <v>2046</v>
      </c>
      <c r="P358">
        <v>2209</v>
      </c>
    </row>
    <row r="359" spans="1:16" x14ac:dyDescent="0.3">
      <c r="A359">
        <v>358</v>
      </c>
      <c r="B359" t="s">
        <v>229</v>
      </c>
      <c r="C359">
        <v>1</v>
      </c>
      <c r="D359">
        <v>0</v>
      </c>
      <c r="E359">
        <v>12</v>
      </c>
      <c r="F359">
        <v>0</v>
      </c>
      <c r="G359">
        <v>6</v>
      </c>
      <c r="H359">
        <v>0</v>
      </c>
      <c r="I359">
        <v>1</v>
      </c>
      <c r="J359">
        <v>12.4025</v>
      </c>
      <c r="K359">
        <v>14.9621</v>
      </c>
      <c r="L359">
        <v>54.25</v>
      </c>
      <c r="M359">
        <v>12.750368</v>
      </c>
      <c r="N359">
        <v>155</v>
      </c>
      <c r="O359">
        <v>856</v>
      </c>
      <c r="P359">
        <v>1011</v>
      </c>
    </row>
    <row r="360" spans="1:16" x14ac:dyDescent="0.3">
      <c r="A360">
        <v>359</v>
      </c>
      <c r="B360" t="s">
        <v>230</v>
      </c>
      <c r="C360">
        <v>1</v>
      </c>
      <c r="D360">
        <v>0</v>
      </c>
      <c r="E360">
        <v>12</v>
      </c>
      <c r="F360">
        <v>0</v>
      </c>
      <c r="G360">
        <v>0</v>
      </c>
      <c r="H360">
        <v>0</v>
      </c>
      <c r="I360">
        <v>1</v>
      </c>
      <c r="J360">
        <v>11.266102999999999</v>
      </c>
      <c r="K360">
        <v>13.998049999999999</v>
      </c>
      <c r="L360">
        <v>68.130399999999995</v>
      </c>
      <c r="M360">
        <v>10.391097</v>
      </c>
      <c r="N360">
        <v>303</v>
      </c>
      <c r="O360">
        <v>451</v>
      </c>
      <c r="P360">
        <v>754</v>
      </c>
    </row>
    <row r="361" spans="1:16" x14ac:dyDescent="0.3">
      <c r="A361">
        <v>360</v>
      </c>
      <c r="B361" t="s">
        <v>231</v>
      </c>
      <c r="C361">
        <v>1</v>
      </c>
      <c r="D361">
        <v>0</v>
      </c>
      <c r="E361">
        <v>12</v>
      </c>
      <c r="F361">
        <v>1</v>
      </c>
      <c r="G361">
        <v>1</v>
      </c>
      <c r="H361">
        <v>0</v>
      </c>
      <c r="I361">
        <v>1</v>
      </c>
      <c r="J361">
        <v>13.191299000000001</v>
      </c>
      <c r="K361">
        <v>15.77675</v>
      </c>
      <c r="L361">
        <v>50.695700000000002</v>
      </c>
      <c r="M361">
        <v>16.044155</v>
      </c>
      <c r="N361">
        <v>430</v>
      </c>
      <c r="O361">
        <v>887</v>
      </c>
      <c r="P361">
        <v>1317</v>
      </c>
    </row>
    <row r="362" spans="1:16" x14ac:dyDescent="0.3">
      <c r="A362">
        <v>361</v>
      </c>
      <c r="B362" t="s">
        <v>232</v>
      </c>
      <c r="C362">
        <v>1</v>
      </c>
      <c r="D362">
        <v>0</v>
      </c>
      <c r="E362">
        <v>12</v>
      </c>
      <c r="F362">
        <v>0</v>
      </c>
      <c r="G362">
        <v>2</v>
      </c>
      <c r="H362">
        <v>1</v>
      </c>
      <c r="I362">
        <v>2</v>
      </c>
      <c r="J362">
        <v>13.324999999999999</v>
      </c>
      <c r="K362">
        <v>16.38165</v>
      </c>
      <c r="L362">
        <v>76.25</v>
      </c>
      <c r="M362">
        <v>12.626150000000001</v>
      </c>
      <c r="N362">
        <v>103</v>
      </c>
      <c r="O362">
        <v>1059</v>
      </c>
      <c r="P362">
        <v>1162</v>
      </c>
    </row>
    <row r="363" spans="1:16" x14ac:dyDescent="0.3">
      <c r="A363">
        <v>362</v>
      </c>
      <c r="B363" t="s">
        <v>233</v>
      </c>
      <c r="C363">
        <v>1</v>
      </c>
      <c r="D363">
        <v>0</v>
      </c>
      <c r="E363">
        <v>12</v>
      </c>
      <c r="F363">
        <v>0</v>
      </c>
      <c r="G363">
        <v>3</v>
      </c>
      <c r="H363">
        <v>1</v>
      </c>
      <c r="I363">
        <v>1</v>
      </c>
      <c r="J363">
        <v>12.264329999999999</v>
      </c>
      <c r="K363">
        <v>13.998699999999999</v>
      </c>
      <c r="L363">
        <v>50.391300000000001</v>
      </c>
      <c r="M363">
        <v>19.695387</v>
      </c>
      <c r="N363">
        <v>255</v>
      </c>
      <c r="O363">
        <v>2047</v>
      </c>
      <c r="P363">
        <v>2302</v>
      </c>
    </row>
    <row r="364" spans="1:16" x14ac:dyDescent="0.3">
      <c r="A364">
        <v>363</v>
      </c>
      <c r="B364" t="s">
        <v>234</v>
      </c>
      <c r="C364">
        <v>1</v>
      </c>
      <c r="D364">
        <v>0</v>
      </c>
      <c r="E364">
        <v>12</v>
      </c>
      <c r="F364">
        <v>0</v>
      </c>
      <c r="G364">
        <v>4</v>
      </c>
      <c r="H364">
        <v>1</v>
      </c>
      <c r="I364">
        <v>1</v>
      </c>
      <c r="J364">
        <v>10.181653000000001</v>
      </c>
      <c r="K364">
        <v>13.194599999999999</v>
      </c>
      <c r="L364">
        <v>57.416699999999999</v>
      </c>
      <c r="M364">
        <v>8.0006039999999992</v>
      </c>
      <c r="N364">
        <v>254</v>
      </c>
      <c r="O364">
        <v>2169</v>
      </c>
      <c r="P364">
        <v>2423</v>
      </c>
    </row>
    <row r="365" spans="1:16" x14ac:dyDescent="0.3">
      <c r="A365">
        <v>364</v>
      </c>
      <c r="B365" t="s">
        <v>235</v>
      </c>
      <c r="C365">
        <v>1</v>
      </c>
      <c r="D365">
        <v>0</v>
      </c>
      <c r="E365">
        <v>12</v>
      </c>
      <c r="F365">
        <v>0</v>
      </c>
      <c r="G365">
        <v>5</v>
      </c>
      <c r="H365">
        <v>1</v>
      </c>
      <c r="I365">
        <v>1</v>
      </c>
      <c r="J365">
        <v>12.778347</v>
      </c>
      <c r="K365">
        <v>15.9406</v>
      </c>
      <c r="L365">
        <v>63.666699999999999</v>
      </c>
      <c r="M365">
        <v>9.0005790000000001</v>
      </c>
      <c r="N365">
        <v>491</v>
      </c>
      <c r="O365">
        <v>2508</v>
      </c>
      <c r="P365">
        <v>2999</v>
      </c>
    </row>
    <row r="366" spans="1:16" x14ac:dyDescent="0.3">
      <c r="A366">
        <v>365</v>
      </c>
      <c r="B366" t="s">
        <v>236</v>
      </c>
      <c r="C366">
        <v>1</v>
      </c>
      <c r="D366">
        <v>0</v>
      </c>
      <c r="E366">
        <v>12</v>
      </c>
      <c r="F366">
        <v>0</v>
      </c>
      <c r="G366">
        <v>6</v>
      </c>
      <c r="H366">
        <v>0</v>
      </c>
      <c r="I366">
        <v>1</v>
      </c>
      <c r="J366">
        <v>16.809999999999999</v>
      </c>
      <c r="K366">
        <v>20.706050000000001</v>
      </c>
      <c r="L366">
        <v>61.583300000000001</v>
      </c>
      <c r="M366">
        <v>14.750318</v>
      </c>
      <c r="N366">
        <v>665</v>
      </c>
      <c r="O366">
        <v>1820</v>
      </c>
      <c r="P366">
        <v>2485</v>
      </c>
    </row>
    <row r="367" spans="1:16" x14ac:dyDescent="0.3">
      <c r="A367">
        <v>366</v>
      </c>
      <c r="B367" s="1">
        <v>43466</v>
      </c>
      <c r="C367">
        <v>1</v>
      </c>
      <c r="D367">
        <v>1</v>
      </c>
      <c r="E367">
        <v>1</v>
      </c>
      <c r="F367">
        <v>0</v>
      </c>
      <c r="G367">
        <v>0</v>
      </c>
      <c r="H367">
        <v>0</v>
      </c>
      <c r="I367">
        <v>1</v>
      </c>
      <c r="J367">
        <v>15.17</v>
      </c>
      <c r="K367">
        <v>18.78105</v>
      </c>
      <c r="L367">
        <v>69.25</v>
      </c>
      <c r="M367">
        <v>12.875189000000001</v>
      </c>
      <c r="N367">
        <v>686</v>
      </c>
      <c r="O367">
        <v>1608</v>
      </c>
      <c r="P367">
        <v>2294</v>
      </c>
    </row>
    <row r="368" spans="1:16" x14ac:dyDescent="0.3">
      <c r="A368">
        <v>367</v>
      </c>
      <c r="B368" s="1">
        <v>43497</v>
      </c>
      <c r="C368">
        <v>1</v>
      </c>
      <c r="D368">
        <v>1</v>
      </c>
      <c r="E368">
        <v>1</v>
      </c>
      <c r="F368">
        <v>1</v>
      </c>
      <c r="G368">
        <v>1</v>
      </c>
      <c r="H368">
        <v>0</v>
      </c>
      <c r="I368">
        <v>1</v>
      </c>
      <c r="J368">
        <v>11.194763</v>
      </c>
      <c r="K368">
        <v>12.6152</v>
      </c>
      <c r="L368">
        <v>38.130400000000002</v>
      </c>
      <c r="M368">
        <v>22.087554999999998</v>
      </c>
      <c r="N368">
        <v>244</v>
      </c>
      <c r="O368">
        <v>1707</v>
      </c>
      <c r="P368">
        <v>1951</v>
      </c>
    </row>
    <row r="369" spans="1:16" x14ac:dyDescent="0.3">
      <c r="A369">
        <v>368</v>
      </c>
      <c r="B369" s="1">
        <v>43525</v>
      </c>
      <c r="C369">
        <v>1</v>
      </c>
      <c r="D369">
        <v>1</v>
      </c>
      <c r="E369">
        <v>1</v>
      </c>
      <c r="F369">
        <v>0</v>
      </c>
      <c r="G369">
        <v>2</v>
      </c>
      <c r="H369">
        <v>1</v>
      </c>
      <c r="I369">
        <v>1</v>
      </c>
      <c r="J369">
        <v>6.15</v>
      </c>
      <c r="K369">
        <v>6.3137499999999998</v>
      </c>
      <c r="L369">
        <v>44.125</v>
      </c>
      <c r="M369">
        <v>24.499956999999998</v>
      </c>
      <c r="N369">
        <v>89</v>
      </c>
      <c r="O369">
        <v>2147</v>
      </c>
      <c r="P369">
        <v>2236</v>
      </c>
    </row>
    <row r="370" spans="1:16" x14ac:dyDescent="0.3">
      <c r="A370">
        <v>369</v>
      </c>
      <c r="B370" s="1">
        <v>43556</v>
      </c>
      <c r="C370">
        <v>1</v>
      </c>
      <c r="D370">
        <v>1</v>
      </c>
      <c r="E370">
        <v>1</v>
      </c>
      <c r="F370">
        <v>0</v>
      </c>
      <c r="G370">
        <v>3</v>
      </c>
      <c r="H370">
        <v>1</v>
      </c>
      <c r="I370">
        <v>2</v>
      </c>
      <c r="J370">
        <v>4.4074999999999998</v>
      </c>
      <c r="K370">
        <v>5.96685</v>
      </c>
      <c r="L370">
        <v>41.458300000000001</v>
      </c>
      <c r="M370">
        <v>12.3749</v>
      </c>
      <c r="N370">
        <v>95</v>
      </c>
      <c r="O370">
        <v>2273</v>
      </c>
      <c r="P370">
        <v>2368</v>
      </c>
    </row>
    <row r="371" spans="1:16" x14ac:dyDescent="0.3">
      <c r="A371">
        <v>370</v>
      </c>
      <c r="B371" s="1">
        <v>43586</v>
      </c>
      <c r="C371">
        <v>1</v>
      </c>
      <c r="D371">
        <v>1</v>
      </c>
      <c r="E371">
        <v>1</v>
      </c>
      <c r="F371">
        <v>0</v>
      </c>
      <c r="G371">
        <v>4</v>
      </c>
      <c r="H371">
        <v>1</v>
      </c>
      <c r="I371">
        <v>1</v>
      </c>
      <c r="J371">
        <v>10.899153</v>
      </c>
      <c r="K371">
        <v>13.9206</v>
      </c>
      <c r="L371">
        <v>52.416699999999999</v>
      </c>
      <c r="M371">
        <v>8.7091290000000008</v>
      </c>
      <c r="N371">
        <v>140</v>
      </c>
      <c r="O371">
        <v>3132</v>
      </c>
      <c r="P371">
        <v>3272</v>
      </c>
    </row>
    <row r="372" spans="1:16" x14ac:dyDescent="0.3">
      <c r="A372">
        <v>371</v>
      </c>
      <c r="B372" s="1">
        <v>43617</v>
      </c>
      <c r="C372">
        <v>1</v>
      </c>
      <c r="D372">
        <v>1</v>
      </c>
      <c r="E372">
        <v>1</v>
      </c>
      <c r="F372">
        <v>0</v>
      </c>
      <c r="G372">
        <v>5</v>
      </c>
      <c r="H372">
        <v>1</v>
      </c>
      <c r="I372">
        <v>1</v>
      </c>
      <c r="J372">
        <v>13.700847</v>
      </c>
      <c r="K372">
        <v>17.013349999999999</v>
      </c>
      <c r="L372">
        <v>54.208300000000001</v>
      </c>
      <c r="M372">
        <v>11.249836</v>
      </c>
      <c r="N372">
        <v>307</v>
      </c>
      <c r="O372">
        <v>3791</v>
      </c>
      <c r="P372">
        <v>4098</v>
      </c>
    </row>
    <row r="373" spans="1:16" x14ac:dyDescent="0.3">
      <c r="A373">
        <v>372</v>
      </c>
      <c r="B373" s="1">
        <v>43647</v>
      </c>
      <c r="C373">
        <v>1</v>
      </c>
      <c r="D373">
        <v>1</v>
      </c>
      <c r="E373">
        <v>1</v>
      </c>
      <c r="F373">
        <v>0</v>
      </c>
      <c r="G373">
        <v>6</v>
      </c>
      <c r="H373">
        <v>0</v>
      </c>
      <c r="I373">
        <v>1</v>
      </c>
      <c r="J373">
        <v>16.126653000000001</v>
      </c>
      <c r="K373">
        <v>19.53895</v>
      </c>
      <c r="L373">
        <v>53.166699999999999</v>
      </c>
      <c r="M373">
        <v>11.708786</v>
      </c>
      <c r="N373">
        <v>1070</v>
      </c>
      <c r="O373">
        <v>3451</v>
      </c>
      <c r="P373">
        <v>4521</v>
      </c>
    </row>
    <row r="374" spans="1:16" x14ac:dyDescent="0.3">
      <c r="A374">
        <v>373</v>
      </c>
      <c r="B374" s="1">
        <v>43678</v>
      </c>
      <c r="C374">
        <v>1</v>
      </c>
      <c r="D374">
        <v>1</v>
      </c>
      <c r="E374">
        <v>1</v>
      </c>
      <c r="F374">
        <v>0</v>
      </c>
      <c r="G374">
        <v>0</v>
      </c>
      <c r="H374">
        <v>0</v>
      </c>
      <c r="I374">
        <v>1</v>
      </c>
      <c r="J374">
        <v>13.8375</v>
      </c>
      <c r="K374">
        <v>17.012899999999998</v>
      </c>
      <c r="L374">
        <v>46.5</v>
      </c>
      <c r="M374">
        <v>12.833314</v>
      </c>
      <c r="N374">
        <v>599</v>
      </c>
      <c r="O374">
        <v>2826</v>
      </c>
      <c r="P374">
        <v>3425</v>
      </c>
    </row>
    <row r="375" spans="1:16" x14ac:dyDescent="0.3">
      <c r="A375">
        <v>374</v>
      </c>
      <c r="B375" s="1">
        <v>43709</v>
      </c>
      <c r="C375">
        <v>1</v>
      </c>
      <c r="D375">
        <v>1</v>
      </c>
      <c r="E375">
        <v>1</v>
      </c>
      <c r="F375">
        <v>0</v>
      </c>
      <c r="G375">
        <v>1</v>
      </c>
      <c r="H375">
        <v>1</v>
      </c>
      <c r="I375">
        <v>2</v>
      </c>
      <c r="J375">
        <v>9.1908469999999998</v>
      </c>
      <c r="K375">
        <v>12.373950000000001</v>
      </c>
      <c r="L375">
        <v>70.166700000000006</v>
      </c>
      <c r="M375">
        <v>6.6262999999999996</v>
      </c>
      <c r="N375">
        <v>106</v>
      </c>
      <c r="O375">
        <v>2270</v>
      </c>
      <c r="P375">
        <v>2376</v>
      </c>
    </row>
    <row r="376" spans="1:16" x14ac:dyDescent="0.3">
      <c r="A376">
        <v>375</v>
      </c>
      <c r="B376" s="1">
        <v>43739</v>
      </c>
      <c r="C376">
        <v>1</v>
      </c>
      <c r="D376">
        <v>1</v>
      </c>
      <c r="E376">
        <v>1</v>
      </c>
      <c r="F376">
        <v>0</v>
      </c>
      <c r="G376">
        <v>2</v>
      </c>
      <c r="H376">
        <v>1</v>
      </c>
      <c r="I376">
        <v>1</v>
      </c>
      <c r="J376">
        <v>12.656535999999999</v>
      </c>
      <c r="K376">
        <v>15.9413</v>
      </c>
      <c r="L376">
        <v>64.652199999999993</v>
      </c>
      <c r="M376">
        <v>12.565984</v>
      </c>
      <c r="N376">
        <v>173</v>
      </c>
      <c r="O376">
        <v>3425</v>
      </c>
      <c r="P376">
        <v>3598</v>
      </c>
    </row>
    <row r="377" spans="1:16" x14ac:dyDescent="0.3">
      <c r="A377">
        <v>376</v>
      </c>
      <c r="B377" s="1">
        <v>43770</v>
      </c>
      <c r="C377">
        <v>1</v>
      </c>
      <c r="D377">
        <v>1</v>
      </c>
      <c r="E377">
        <v>1</v>
      </c>
      <c r="F377">
        <v>0</v>
      </c>
      <c r="G377">
        <v>3</v>
      </c>
      <c r="H377">
        <v>1</v>
      </c>
      <c r="I377">
        <v>2</v>
      </c>
      <c r="J377">
        <v>11.240847</v>
      </c>
      <c r="K377">
        <v>14.14105</v>
      </c>
      <c r="L377">
        <v>84.75</v>
      </c>
      <c r="M377">
        <v>8.7918070000000004</v>
      </c>
      <c r="N377">
        <v>92</v>
      </c>
      <c r="O377">
        <v>2085</v>
      </c>
      <c r="P377">
        <v>2177</v>
      </c>
    </row>
    <row r="378" spans="1:16" x14ac:dyDescent="0.3">
      <c r="A378">
        <v>377</v>
      </c>
      <c r="B378" s="1">
        <v>43800</v>
      </c>
      <c r="C378">
        <v>1</v>
      </c>
      <c r="D378">
        <v>1</v>
      </c>
      <c r="E378">
        <v>1</v>
      </c>
      <c r="F378">
        <v>0</v>
      </c>
      <c r="G378">
        <v>4</v>
      </c>
      <c r="H378">
        <v>1</v>
      </c>
      <c r="I378">
        <v>2</v>
      </c>
      <c r="J378">
        <v>15.682499999999999</v>
      </c>
      <c r="K378">
        <v>19.096900000000002</v>
      </c>
      <c r="L378">
        <v>80.291700000000006</v>
      </c>
      <c r="M378">
        <v>12.124789</v>
      </c>
      <c r="N378">
        <v>269</v>
      </c>
      <c r="O378">
        <v>3828</v>
      </c>
      <c r="P378">
        <v>4097</v>
      </c>
    </row>
    <row r="379" spans="1:16" x14ac:dyDescent="0.3">
      <c r="A379">
        <v>378</v>
      </c>
      <c r="B379" t="s">
        <v>237</v>
      </c>
      <c r="C379">
        <v>1</v>
      </c>
      <c r="D379">
        <v>1</v>
      </c>
      <c r="E379">
        <v>1</v>
      </c>
      <c r="F379">
        <v>0</v>
      </c>
      <c r="G379">
        <v>5</v>
      </c>
      <c r="H379">
        <v>1</v>
      </c>
      <c r="I379">
        <v>1</v>
      </c>
      <c r="J379">
        <v>11.240847</v>
      </c>
      <c r="K379">
        <v>12.4681</v>
      </c>
      <c r="L379">
        <v>50.75</v>
      </c>
      <c r="M379">
        <v>25.333235999999999</v>
      </c>
      <c r="N379">
        <v>174</v>
      </c>
      <c r="O379">
        <v>3040</v>
      </c>
      <c r="P379">
        <v>3214</v>
      </c>
    </row>
    <row r="380" spans="1:16" x14ac:dyDescent="0.3">
      <c r="A380">
        <v>379</v>
      </c>
      <c r="B380" t="s">
        <v>238</v>
      </c>
      <c r="C380">
        <v>1</v>
      </c>
      <c r="D380">
        <v>1</v>
      </c>
      <c r="E380">
        <v>1</v>
      </c>
      <c r="F380">
        <v>0</v>
      </c>
      <c r="G380">
        <v>6</v>
      </c>
      <c r="H380">
        <v>0</v>
      </c>
      <c r="I380">
        <v>1</v>
      </c>
      <c r="J380">
        <v>7.38</v>
      </c>
      <c r="K380">
        <v>9.1543500000000009</v>
      </c>
      <c r="L380">
        <v>45.75</v>
      </c>
      <c r="M380">
        <v>12.541261</v>
      </c>
      <c r="N380">
        <v>333</v>
      </c>
      <c r="O380">
        <v>2160</v>
      </c>
      <c r="P380">
        <v>2493</v>
      </c>
    </row>
    <row r="381" spans="1:16" x14ac:dyDescent="0.3">
      <c r="A381">
        <v>380</v>
      </c>
      <c r="B381" t="s">
        <v>239</v>
      </c>
      <c r="C381">
        <v>1</v>
      </c>
      <c r="D381">
        <v>1</v>
      </c>
      <c r="E381">
        <v>1</v>
      </c>
      <c r="F381">
        <v>0</v>
      </c>
      <c r="G381">
        <v>0</v>
      </c>
      <c r="H381">
        <v>0</v>
      </c>
      <c r="I381">
        <v>1</v>
      </c>
      <c r="J381">
        <v>6.8333469999999998</v>
      </c>
      <c r="K381">
        <v>8.0812500000000007</v>
      </c>
      <c r="L381">
        <v>41.916699999999999</v>
      </c>
      <c r="M381">
        <v>16.834285999999999</v>
      </c>
      <c r="N381">
        <v>284</v>
      </c>
      <c r="O381">
        <v>2027</v>
      </c>
      <c r="P381">
        <v>2311</v>
      </c>
    </row>
    <row r="382" spans="1:16" x14ac:dyDescent="0.3">
      <c r="A382">
        <v>381</v>
      </c>
      <c r="B382" t="s">
        <v>240</v>
      </c>
      <c r="C382">
        <v>1</v>
      </c>
      <c r="D382">
        <v>1</v>
      </c>
      <c r="E382">
        <v>1</v>
      </c>
      <c r="F382">
        <v>1</v>
      </c>
      <c r="G382">
        <v>1</v>
      </c>
      <c r="H382">
        <v>0</v>
      </c>
      <c r="I382">
        <v>1</v>
      </c>
      <c r="J382">
        <v>7.79</v>
      </c>
      <c r="K382">
        <v>9.5331499999999991</v>
      </c>
      <c r="L382">
        <v>52.25</v>
      </c>
      <c r="M382">
        <v>15.500985999999999</v>
      </c>
      <c r="N382">
        <v>217</v>
      </c>
      <c r="O382">
        <v>2081</v>
      </c>
      <c r="P382">
        <v>2298</v>
      </c>
    </row>
    <row r="383" spans="1:16" x14ac:dyDescent="0.3">
      <c r="A383">
        <v>382</v>
      </c>
      <c r="B383" t="s">
        <v>241</v>
      </c>
      <c r="C383">
        <v>1</v>
      </c>
      <c r="D383">
        <v>1</v>
      </c>
      <c r="E383">
        <v>1</v>
      </c>
      <c r="F383">
        <v>0</v>
      </c>
      <c r="G383">
        <v>2</v>
      </c>
      <c r="H383">
        <v>1</v>
      </c>
      <c r="I383">
        <v>2</v>
      </c>
      <c r="J383">
        <v>15.294763</v>
      </c>
      <c r="K383">
        <v>18.213899999999999</v>
      </c>
      <c r="L383">
        <v>71.608699999999999</v>
      </c>
      <c r="M383">
        <v>23.39171</v>
      </c>
      <c r="N383">
        <v>127</v>
      </c>
      <c r="O383">
        <v>2808</v>
      </c>
      <c r="P383">
        <v>2935</v>
      </c>
    </row>
    <row r="384" spans="1:16" x14ac:dyDescent="0.3">
      <c r="A384">
        <v>383</v>
      </c>
      <c r="B384" t="s">
        <v>242</v>
      </c>
      <c r="C384">
        <v>1</v>
      </c>
      <c r="D384">
        <v>1</v>
      </c>
      <c r="E384">
        <v>1</v>
      </c>
      <c r="F384">
        <v>0</v>
      </c>
      <c r="G384">
        <v>3</v>
      </c>
      <c r="H384">
        <v>1</v>
      </c>
      <c r="I384">
        <v>1</v>
      </c>
      <c r="J384">
        <v>12.436653</v>
      </c>
      <c r="K384">
        <v>13.762700000000001</v>
      </c>
      <c r="L384">
        <v>44.333300000000001</v>
      </c>
      <c r="M384">
        <v>27.833742999999998</v>
      </c>
      <c r="N384">
        <v>109</v>
      </c>
      <c r="O384">
        <v>3267</v>
      </c>
      <c r="P384">
        <v>3376</v>
      </c>
    </row>
    <row r="385" spans="1:16" x14ac:dyDescent="0.3">
      <c r="A385">
        <v>384</v>
      </c>
      <c r="B385" t="s">
        <v>243</v>
      </c>
      <c r="C385">
        <v>1</v>
      </c>
      <c r="D385">
        <v>1</v>
      </c>
      <c r="E385">
        <v>1</v>
      </c>
      <c r="F385">
        <v>0</v>
      </c>
      <c r="G385">
        <v>4</v>
      </c>
      <c r="H385">
        <v>1</v>
      </c>
      <c r="I385">
        <v>1</v>
      </c>
      <c r="J385">
        <v>7.79</v>
      </c>
      <c r="K385">
        <v>9.5018999999999991</v>
      </c>
      <c r="L385">
        <v>49.75</v>
      </c>
      <c r="M385">
        <v>14.750586</v>
      </c>
      <c r="N385">
        <v>130</v>
      </c>
      <c r="O385">
        <v>3162</v>
      </c>
      <c r="P385">
        <v>3292</v>
      </c>
    </row>
    <row r="386" spans="1:16" x14ac:dyDescent="0.3">
      <c r="A386">
        <v>385</v>
      </c>
      <c r="B386" t="s">
        <v>244</v>
      </c>
      <c r="C386">
        <v>1</v>
      </c>
      <c r="D386">
        <v>1</v>
      </c>
      <c r="E386">
        <v>1</v>
      </c>
      <c r="F386">
        <v>0</v>
      </c>
      <c r="G386">
        <v>5</v>
      </c>
      <c r="H386">
        <v>1</v>
      </c>
      <c r="I386">
        <v>2</v>
      </c>
      <c r="J386">
        <v>8.9175000000000004</v>
      </c>
      <c r="K386">
        <v>11.0479</v>
      </c>
      <c r="L386">
        <v>45</v>
      </c>
      <c r="M386">
        <v>13.584250000000001</v>
      </c>
      <c r="N386">
        <v>115</v>
      </c>
      <c r="O386">
        <v>3048</v>
      </c>
      <c r="P386">
        <v>3163</v>
      </c>
    </row>
    <row r="387" spans="1:16" x14ac:dyDescent="0.3">
      <c r="A387">
        <v>386</v>
      </c>
      <c r="B387" t="s">
        <v>245</v>
      </c>
      <c r="C387">
        <v>1</v>
      </c>
      <c r="D387">
        <v>1</v>
      </c>
      <c r="E387">
        <v>1</v>
      </c>
      <c r="F387">
        <v>0</v>
      </c>
      <c r="G387">
        <v>6</v>
      </c>
      <c r="H387">
        <v>0</v>
      </c>
      <c r="I387">
        <v>2</v>
      </c>
      <c r="J387">
        <v>7.1066529999999997</v>
      </c>
      <c r="K387">
        <v>8.7437500000000004</v>
      </c>
      <c r="L387">
        <v>83.125</v>
      </c>
      <c r="M387">
        <v>14.917014</v>
      </c>
      <c r="N387">
        <v>67</v>
      </c>
      <c r="O387">
        <v>1234</v>
      </c>
      <c r="P387">
        <v>1301</v>
      </c>
    </row>
    <row r="388" spans="1:16" x14ac:dyDescent="0.3">
      <c r="A388">
        <v>387</v>
      </c>
      <c r="B388" t="s">
        <v>246</v>
      </c>
      <c r="C388">
        <v>1</v>
      </c>
      <c r="D388">
        <v>1</v>
      </c>
      <c r="E388">
        <v>1</v>
      </c>
      <c r="F388">
        <v>0</v>
      </c>
      <c r="G388">
        <v>0</v>
      </c>
      <c r="H388">
        <v>0</v>
      </c>
      <c r="I388">
        <v>2</v>
      </c>
      <c r="J388">
        <v>6.6624999999999996</v>
      </c>
      <c r="K388">
        <v>8.1125000000000007</v>
      </c>
      <c r="L388">
        <v>79.625</v>
      </c>
      <c r="M388">
        <v>13.375745999999999</v>
      </c>
      <c r="N388">
        <v>196</v>
      </c>
      <c r="O388">
        <v>1781</v>
      </c>
      <c r="P388">
        <v>1977</v>
      </c>
    </row>
    <row r="389" spans="1:16" x14ac:dyDescent="0.3">
      <c r="A389">
        <v>388</v>
      </c>
      <c r="B389" t="s">
        <v>247</v>
      </c>
      <c r="C389">
        <v>1</v>
      </c>
      <c r="D389">
        <v>1</v>
      </c>
      <c r="E389">
        <v>1</v>
      </c>
      <c r="F389">
        <v>0</v>
      </c>
      <c r="G389">
        <v>1</v>
      </c>
      <c r="H389">
        <v>1</v>
      </c>
      <c r="I389">
        <v>2</v>
      </c>
      <c r="J389">
        <v>8.9516530000000003</v>
      </c>
      <c r="K389">
        <v>12.152900000000001</v>
      </c>
      <c r="L389">
        <v>91.125</v>
      </c>
      <c r="M389">
        <v>7.4174360000000004</v>
      </c>
      <c r="N389">
        <v>145</v>
      </c>
      <c r="O389">
        <v>2287</v>
      </c>
      <c r="P389">
        <v>2432</v>
      </c>
    </row>
    <row r="390" spans="1:16" x14ac:dyDescent="0.3">
      <c r="A390">
        <v>389</v>
      </c>
      <c r="B390" t="s">
        <v>248</v>
      </c>
      <c r="C390">
        <v>1</v>
      </c>
      <c r="D390">
        <v>1</v>
      </c>
      <c r="E390">
        <v>1</v>
      </c>
      <c r="F390">
        <v>0</v>
      </c>
      <c r="G390">
        <v>2</v>
      </c>
      <c r="H390">
        <v>1</v>
      </c>
      <c r="I390">
        <v>1</v>
      </c>
      <c r="J390">
        <v>14.0425</v>
      </c>
      <c r="K390">
        <v>17.455400000000001</v>
      </c>
      <c r="L390">
        <v>83.583299999999994</v>
      </c>
      <c r="M390">
        <v>8.292389</v>
      </c>
      <c r="N390">
        <v>439</v>
      </c>
      <c r="O390">
        <v>3900</v>
      </c>
      <c r="P390">
        <v>4339</v>
      </c>
    </row>
    <row r="391" spans="1:16" x14ac:dyDescent="0.3">
      <c r="A391">
        <v>390</v>
      </c>
      <c r="B391" t="s">
        <v>249</v>
      </c>
      <c r="C391">
        <v>1</v>
      </c>
      <c r="D391">
        <v>1</v>
      </c>
      <c r="E391">
        <v>1</v>
      </c>
      <c r="F391">
        <v>0</v>
      </c>
      <c r="G391">
        <v>3</v>
      </c>
      <c r="H391">
        <v>1</v>
      </c>
      <c r="I391">
        <v>1</v>
      </c>
      <c r="J391">
        <v>12.060847000000001</v>
      </c>
      <c r="K391">
        <v>14.74105</v>
      </c>
      <c r="L391">
        <v>64.375</v>
      </c>
      <c r="M391">
        <v>10.791757</v>
      </c>
      <c r="N391">
        <v>467</v>
      </c>
      <c r="O391">
        <v>3803</v>
      </c>
      <c r="P391">
        <v>4270</v>
      </c>
    </row>
    <row r="392" spans="1:16" x14ac:dyDescent="0.3">
      <c r="A392">
        <v>391</v>
      </c>
      <c r="B392" t="s">
        <v>250</v>
      </c>
      <c r="C392">
        <v>1</v>
      </c>
      <c r="D392">
        <v>1</v>
      </c>
      <c r="E392">
        <v>1</v>
      </c>
      <c r="F392">
        <v>0</v>
      </c>
      <c r="G392">
        <v>4</v>
      </c>
      <c r="H392">
        <v>1</v>
      </c>
      <c r="I392">
        <v>2</v>
      </c>
      <c r="J392">
        <v>14.008347000000001</v>
      </c>
      <c r="K392">
        <v>17.802499999999998</v>
      </c>
      <c r="L392">
        <v>76.958299999999994</v>
      </c>
      <c r="M392">
        <v>4.9175186000000002</v>
      </c>
      <c r="N392">
        <v>244</v>
      </c>
      <c r="O392">
        <v>3831</v>
      </c>
      <c r="P392">
        <v>4075</v>
      </c>
    </row>
    <row r="393" spans="1:16" x14ac:dyDescent="0.3">
      <c r="A393">
        <v>392</v>
      </c>
      <c r="B393" t="s">
        <v>251</v>
      </c>
      <c r="C393">
        <v>1</v>
      </c>
      <c r="D393">
        <v>1</v>
      </c>
      <c r="E393">
        <v>1</v>
      </c>
      <c r="F393">
        <v>0</v>
      </c>
      <c r="G393">
        <v>5</v>
      </c>
      <c r="H393">
        <v>1</v>
      </c>
      <c r="I393">
        <v>2</v>
      </c>
      <c r="J393">
        <v>17.425000000000001</v>
      </c>
      <c r="K393">
        <v>20.76915</v>
      </c>
      <c r="L393">
        <v>74.125</v>
      </c>
      <c r="M393">
        <v>22.958689</v>
      </c>
      <c r="N393">
        <v>269</v>
      </c>
      <c r="O393">
        <v>3187</v>
      </c>
      <c r="P393">
        <v>3456</v>
      </c>
    </row>
    <row r="394" spans="1:16" x14ac:dyDescent="0.3">
      <c r="A394">
        <v>393</v>
      </c>
      <c r="B394" t="s">
        <v>252</v>
      </c>
      <c r="C394">
        <v>1</v>
      </c>
      <c r="D394">
        <v>1</v>
      </c>
      <c r="E394">
        <v>1</v>
      </c>
      <c r="F394">
        <v>0</v>
      </c>
      <c r="G394">
        <v>6</v>
      </c>
      <c r="H394">
        <v>0</v>
      </c>
      <c r="I394">
        <v>1</v>
      </c>
      <c r="J394">
        <v>12.949153000000001</v>
      </c>
      <c r="K394">
        <v>16.318950000000001</v>
      </c>
      <c r="L394">
        <v>54.333300000000001</v>
      </c>
      <c r="M394">
        <v>14.125543</v>
      </c>
      <c r="N394">
        <v>775</v>
      </c>
      <c r="O394">
        <v>3248</v>
      </c>
      <c r="P394">
        <v>4023</v>
      </c>
    </row>
    <row r="395" spans="1:16" x14ac:dyDescent="0.3">
      <c r="A395">
        <v>394</v>
      </c>
      <c r="B395" t="s">
        <v>253</v>
      </c>
      <c r="C395">
        <v>1</v>
      </c>
      <c r="D395">
        <v>1</v>
      </c>
      <c r="E395">
        <v>1</v>
      </c>
      <c r="F395">
        <v>0</v>
      </c>
      <c r="G395">
        <v>0</v>
      </c>
      <c r="H395">
        <v>0</v>
      </c>
      <c r="I395">
        <v>1</v>
      </c>
      <c r="J395">
        <v>11.5825</v>
      </c>
      <c r="K395">
        <v>13.636049999999999</v>
      </c>
      <c r="L395">
        <v>31.125</v>
      </c>
      <c r="M395">
        <v>16.083349999999999</v>
      </c>
      <c r="N395">
        <v>558</v>
      </c>
      <c r="O395">
        <v>2685</v>
      </c>
      <c r="P395">
        <v>3243</v>
      </c>
    </row>
    <row r="396" spans="1:16" x14ac:dyDescent="0.3">
      <c r="A396">
        <v>395</v>
      </c>
      <c r="B396" t="s">
        <v>254</v>
      </c>
      <c r="C396">
        <v>1</v>
      </c>
      <c r="D396">
        <v>1</v>
      </c>
      <c r="E396">
        <v>1</v>
      </c>
      <c r="F396">
        <v>0</v>
      </c>
      <c r="G396">
        <v>1</v>
      </c>
      <c r="H396">
        <v>1</v>
      </c>
      <c r="I396">
        <v>1</v>
      </c>
      <c r="J396">
        <v>11.035847</v>
      </c>
      <c r="K396">
        <v>13.13125</v>
      </c>
      <c r="L396">
        <v>40.083300000000001</v>
      </c>
      <c r="M396">
        <v>14.458064</v>
      </c>
      <c r="N396">
        <v>126</v>
      </c>
      <c r="O396">
        <v>3498</v>
      </c>
      <c r="P396">
        <v>3624</v>
      </c>
    </row>
    <row r="397" spans="1:16" x14ac:dyDescent="0.3">
      <c r="A397">
        <v>396</v>
      </c>
      <c r="B397" t="s">
        <v>255</v>
      </c>
      <c r="C397">
        <v>1</v>
      </c>
      <c r="D397">
        <v>1</v>
      </c>
      <c r="E397">
        <v>1</v>
      </c>
      <c r="F397">
        <v>0</v>
      </c>
      <c r="G397">
        <v>2</v>
      </c>
      <c r="H397">
        <v>1</v>
      </c>
      <c r="I397">
        <v>1</v>
      </c>
      <c r="J397">
        <v>15.99</v>
      </c>
      <c r="K397">
        <v>19.065850000000001</v>
      </c>
      <c r="L397">
        <v>41.666699999999999</v>
      </c>
      <c r="M397">
        <v>17.541739</v>
      </c>
      <c r="N397">
        <v>324</v>
      </c>
      <c r="O397">
        <v>4185</v>
      </c>
      <c r="P397">
        <v>4509</v>
      </c>
    </row>
    <row r="398" spans="1:16" x14ac:dyDescent="0.3">
      <c r="A398">
        <v>397</v>
      </c>
      <c r="B398" s="1">
        <v>43467</v>
      </c>
      <c r="C398">
        <v>1</v>
      </c>
      <c r="D398">
        <v>1</v>
      </c>
      <c r="E398">
        <v>2</v>
      </c>
      <c r="F398">
        <v>0</v>
      </c>
      <c r="G398">
        <v>3</v>
      </c>
      <c r="H398">
        <v>1</v>
      </c>
      <c r="I398">
        <v>1</v>
      </c>
      <c r="J398">
        <v>19.235847</v>
      </c>
      <c r="K398">
        <v>23.326899999999998</v>
      </c>
      <c r="L398">
        <v>50.791699999999999</v>
      </c>
      <c r="M398">
        <v>12.667489</v>
      </c>
      <c r="N398">
        <v>304</v>
      </c>
      <c r="O398">
        <v>4275</v>
      </c>
      <c r="P398">
        <v>4579</v>
      </c>
    </row>
    <row r="399" spans="1:16" x14ac:dyDescent="0.3">
      <c r="A399">
        <v>398</v>
      </c>
      <c r="B399" s="1">
        <v>43498</v>
      </c>
      <c r="C399">
        <v>1</v>
      </c>
      <c r="D399">
        <v>1</v>
      </c>
      <c r="E399">
        <v>2</v>
      </c>
      <c r="F399">
        <v>0</v>
      </c>
      <c r="G399">
        <v>4</v>
      </c>
      <c r="H399">
        <v>1</v>
      </c>
      <c r="I399">
        <v>2</v>
      </c>
      <c r="J399">
        <v>16.365846999999999</v>
      </c>
      <c r="K399">
        <v>19.948550000000001</v>
      </c>
      <c r="L399">
        <v>67.291700000000006</v>
      </c>
      <c r="M399">
        <v>12.541529000000001</v>
      </c>
      <c r="N399">
        <v>190</v>
      </c>
      <c r="O399">
        <v>3571</v>
      </c>
      <c r="P399">
        <v>3761</v>
      </c>
    </row>
    <row r="400" spans="1:16" x14ac:dyDescent="0.3">
      <c r="A400">
        <v>399</v>
      </c>
      <c r="B400" s="1">
        <v>43526</v>
      </c>
      <c r="C400">
        <v>1</v>
      </c>
      <c r="D400">
        <v>1</v>
      </c>
      <c r="E400">
        <v>2</v>
      </c>
      <c r="F400">
        <v>0</v>
      </c>
      <c r="G400">
        <v>5</v>
      </c>
      <c r="H400">
        <v>1</v>
      </c>
      <c r="I400">
        <v>1</v>
      </c>
      <c r="J400">
        <v>12.846653</v>
      </c>
      <c r="K400">
        <v>15.4673</v>
      </c>
      <c r="L400">
        <v>52.666699999999999</v>
      </c>
      <c r="M400">
        <v>11.959232</v>
      </c>
      <c r="N400">
        <v>310</v>
      </c>
      <c r="O400">
        <v>3841</v>
      </c>
      <c r="P400">
        <v>4151</v>
      </c>
    </row>
    <row r="401" spans="1:16" x14ac:dyDescent="0.3">
      <c r="A401">
        <v>400</v>
      </c>
      <c r="B401" s="1">
        <v>43557</v>
      </c>
      <c r="C401">
        <v>1</v>
      </c>
      <c r="D401">
        <v>1</v>
      </c>
      <c r="E401">
        <v>2</v>
      </c>
      <c r="F401">
        <v>0</v>
      </c>
      <c r="G401">
        <v>6</v>
      </c>
      <c r="H401">
        <v>0</v>
      </c>
      <c r="I401">
        <v>2</v>
      </c>
      <c r="J401">
        <v>10.830847</v>
      </c>
      <c r="K401">
        <v>13.63625</v>
      </c>
      <c r="L401">
        <v>77.958299999999994</v>
      </c>
      <c r="M401">
        <v>8.1670320000000007</v>
      </c>
      <c r="N401">
        <v>384</v>
      </c>
      <c r="O401">
        <v>2448</v>
      </c>
      <c r="P401">
        <v>2832</v>
      </c>
    </row>
    <row r="402" spans="1:16" x14ac:dyDescent="0.3">
      <c r="A402">
        <v>401</v>
      </c>
      <c r="B402" s="1">
        <v>43587</v>
      </c>
      <c r="C402">
        <v>1</v>
      </c>
      <c r="D402">
        <v>1</v>
      </c>
      <c r="E402">
        <v>2</v>
      </c>
      <c r="F402">
        <v>0</v>
      </c>
      <c r="G402">
        <v>0</v>
      </c>
      <c r="H402">
        <v>0</v>
      </c>
      <c r="I402">
        <v>2</v>
      </c>
      <c r="J402">
        <v>10.899153</v>
      </c>
      <c r="K402">
        <v>13.226050000000001</v>
      </c>
      <c r="L402">
        <v>68.791700000000006</v>
      </c>
      <c r="M402">
        <v>11.791732</v>
      </c>
      <c r="N402">
        <v>318</v>
      </c>
      <c r="O402">
        <v>2629</v>
      </c>
      <c r="P402">
        <v>2947</v>
      </c>
    </row>
    <row r="403" spans="1:16" x14ac:dyDescent="0.3">
      <c r="A403">
        <v>402</v>
      </c>
      <c r="B403" s="1">
        <v>43618</v>
      </c>
      <c r="C403">
        <v>1</v>
      </c>
      <c r="D403">
        <v>1</v>
      </c>
      <c r="E403">
        <v>2</v>
      </c>
      <c r="F403">
        <v>0</v>
      </c>
      <c r="G403">
        <v>1</v>
      </c>
      <c r="H403">
        <v>1</v>
      </c>
      <c r="I403">
        <v>1</v>
      </c>
      <c r="J403">
        <v>11.586969</v>
      </c>
      <c r="K403">
        <v>14.821300000000001</v>
      </c>
      <c r="L403">
        <v>62.217399999999998</v>
      </c>
      <c r="M403">
        <v>10.304600000000001</v>
      </c>
      <c r="N403">
        <v>206</v>
      </c>
      <c r="O403">
        <v>3578</v>
      </c>
      <c r="P403">
        <v>3784</v>
      </c>
    </row>
    <row r="404" spans="1:16" x14ac:dyDescent="0.3">
      <c r="A404">
        <v>403</v>
      </c>
      <c r="B404" s="1">
        <v>43648</v>
      </c>
      <c r="C404">
        <v>1</v>
      </c>
      <c r="D404">
        <v>1</v>
      </c>
      <c r="E404">
        <v>2</v>
      </c>
      <c r="F404">
        <v>0</v>
      </c>
      <c r="G404">
        <v>2</v>
      </c>
      <c r="H404">
        <v>1</v>
      </c>
      <c r="I404">
        <v>1</v>
      </c>
      <c r="J404">
        <v>14.520847</v>
      </c>
      <c r="K404">
        <v>18.055199999999999</v>
      </c>
      <c r="L404">
        <v>49.625</v>
      </c>
      <c r="M404">
        <v>9.8743929999999995</v>
      </c>
      <c r="N404">
        <v>199</v>
      </c>
      <c r="O404">
        <v>4176</v>
      </c>
      <c r="P404">
        <v>4375</v>
      </c>
    </row>
    <row r="405" spans="1:16" x14ac:dyDescent="0.3">
      <c r="A405">
        <v>404</v>
      </c>
      <c r="B405" s="1">
        <v>43679</v>
      </c>
      <c r="C405">
        <v>1</v>
      </c>
      <c r="D405">
        <v>1</v>
      </c>
      <c r="E405">
        <v>2</v>
      </c>
      <c r="F405">
        <v>0</v>
      </c>
      <c r="G405">
        <v>3</v>
      </c>
      <c r="H405">
        <v>1</v>
      </c>
      <c r="I405">
        <v>2</v>
      </c>
      <c r="J405">
        <v>10.523346999999999</v>
      </c>
      <c r="K405">
        <v>13.32105</v>
      </c>
      <c r="L405">
        <v>72.291700000000006</v>
      </c>
      <c r="M405">
        <v>8.9593070000000008</v>
      </c>
      <c r="N405">
        <v>109</v>
      </c>
      <c r="O405">
        <v>2693</v>
      </c>
      <c r="P405">
        <v>2802</v>
      </c>
    </row>
    <row r="406" spans="1:16" x14ac:dyDescent="0.3">
      <c r="A406">
        <v>405</v>
      </c>
      <c r="B406" s="1">
        <v>43710</v>
      </c>
      <c r="C406">
        <v>1</v>
      </c>
      <c r="D406">
        <v>1</v>
      </c>
      <c r="E406">
        <v>2</v>
      </c>
      <c r="F406">
        <v>0</v>
      </c>
      <c r="G406">
        <v>4</v>
      </c>
      <c r="H406">
        <v>1</v>
      </c>
      <c r="I406">
        <v>1</v>
      </c>
      <c r="J406">
        <v>10.865</v>
      </c>
      <c r="K406">
        <v>13.099399999999999</v>
      </c>
      <c r="L406">
        <v>56.208300000000001</v>
      </c>
      <c r="M406">
        <v>13.000479</v>
      </c>
      <c r="N406">
        <v>163</v>
      </c>
      <c r="O406">
        <v>3667</v>
      </c>
      <c r="P406">
        <v>3830</v>
      </c>
    </row>
    <row r="407" spans="1:16" x14ac:dyDescent="0.3">
      <c r="A407">
        <v>406</v>
      </c>
      <c r="B407" s="1">
        <v>43740</v>
      </c>
      <c r="C407">
        <v>1</v>
      </c>
      <c r="D407">
        <v>1</v>
      </c>
      <c r="E407">
        <v>2</v>
      </c>
      <c r="F407">
        <v>0</v>
      </c>
      <c r="G407">
        <v>5</v>
      </c>
      <c r="H407">
        <v>1</v>
      </c>
      <c r="I407">
        <v>2</v>
      </c>
      <c r="J407">
        <v>11.514153</v>
      </c>
      <c r="K407">
        <v>14.677899999999999</v>
      </c>
      <c r="L407">
        <v>54</v>
      </c>
      <c r="M407">
        <v>7.8342429999999998</v>
      </c>
      <c r="N407">
        <v>227</v>
      </c>
      <c r="O407">
        <v>3604</v>
      </c>
      <c r="P407">
        <v>3831</v>
      </c>
    </row>
    <row r="408" spans="1:16" x14ac:dyDescent="0.3">
      <c r="A408">
        <v>407</v>
      </c>
      <c r="B408" s="1">
        <v>43771</v>
      </c>
      <c r="C408">
        <v>1</v>
      </c>
      <c r="D408">
        <v>1</v>
      </c>
      <c r="E408">
        <v>2</v>
      </c>
      <c r="F408">
        <v>0</v>
      </c>
      <c r="G408">
        <v>6</v>
      </c>
      <c r="H408">
        <v>0</v>
      </c>
      <c r="I408">
        <v>3</v>
      </c>
      <c r="J408">
        <v>9.1908469999999998</v>
      </c>
      <c r="K408">
        <v>10.54335</v>
      </c>
      <c r="L408">
        <v>73.125</v>
      </c>
      <c r="M408">
        <v>19.416332000000001</v>
      </c>
      <c r="N408">
        <v>192</v>
      </c>
      <c r="O408">
        <v>1977</v>
      </c>
      <c r="P408">
        <v>2169</v>
      </c>
    </row>
    <row r="409" spans="1:16" x14ac:dyDescent="0.3">
      <c r="A409">
        <v>408</v>
      </c>
      <c r="B409" s="1">
        <v>43801</v>
      </c>
      <c r="C409">
        <v>1</v>
      </c>
      <c r="D409">
        <v>1</v>
      </c>
      <c r="E409">
        <v>2</v>
      </c>
      <c r="F409">
        <v>0</v>
      </c>
      <c r="G409">
        <v>0</v>
      </c>
      <c r="H409">
        <v>0</v>
      </c>
      <c r="I409">
        <v>1</v>
      </c>
      <c r="J409">
        <v>5.2275</v>
      </c>
      <c r="K409">
        <v>5.0829000000000004</v>
      </c>
      <c r="L409">
        <v>46.458300000000001</v>
      </c>
      <c r="M409">
        <v>27.417204000000002</v>
      </c>
      <c r="N409">
        <v>73</v>
      </c>
      <c r="O409">
        <v>1456</v>
      </c>
      <c r="P409">
        <v>1529</v>
      </c>
    </row>
    <row r="410" spans="1:16" x14ac:dyDescent="0.3">
      <c r="A410">
        <v>409</v>
      </c>
      <c r="B410" t="s">
        <v>256</v>
      </c>
      <c r="C410">
        <v>1</v>
      </c>
      <c r="D410">
        <v>1</v>
      </c>
      <c r="E410">
        <v>2</v>
      </c>
      <c r="F410">
        <v>0</v>
      </c>
      <c r="G410">
        <v>1</v>
      </c>
      <c r="H410">
        <v>1</v>
      </c>
      <c r="I410">
        <v>1</v>
      </c>
      <c r="J410">
        <v>9.1225000000000005</v>
      </c>
      <c r="K410">
        <v>11.39565</v>
      </c>
      <c r="L410">
        <v>41.125</v>
      </c>
      <c r="M410">
        <v>11.207960999999999</v>
      </c>
      <c r="N410">
        <v>94</v>
      </c>
      <c r="O410">
        <v>3328</v>
      </c>
      <c r="P410">
        <v>3422</v>
      </c>
    </row>
    <row r="411" spans="1:16" x14ac:dyDescent="0.3">
      <c r="A411">
        <v>410</v>
      </c>
      <c r="B411" t="s">
        <v>257</v>
      </c>
      <c r="C411">
        <v>1</v>
      </c>
      <c r="D411">
        <v>1</v>
      </c>
      <c r="E411">
        <v>2</v>
      </c>
      <c r="F411">
        <v>0</v>
      </c>
      <c r="G411">
        <v>2</v>
      </c>
      <c r="H411">
        <v>1</v>
      </c>
      <c r="I411">
        <v>2</v>
      </c>
      <c r="J411">
        <v>13.085846999999999</v>
      </c>
      <c r="K411">
        <v>16.697299999999998</v>
      </c>
      <c r="L411">
        <v>50.875</v>
      </c>
      <c r="M411">
        <v>9.4589929999999995</v>
      </c>
      <c r="N411">
        <v>135</v>
      </c>
      <c r="O411">
        <v>3787</v>
      </c>
      <c r="P411">
        <v>3922</v>
      </c>
    </row>
    <row r="412" spans="1:16" x14ac:dyDescent="0.3">
      <c r="A412">
        <v>411</v>
      </c>
      <c r="B412" t="s">
        <v>258</v>
      </c>
      <c r="C412">
        <v>1</v>
      </c>
      <c r="D412">
        <v>1</v>
      </c>
      <c r="E412">
        <v>2</v>
      </c>
      <c r="F412">
        <v>0</v>
      </c>
      <c r="G412">
        <v>3</v>
      </c>
      <c r="H412">
        <v>1</v>
      </c>
      <c r="I412">
        <v>1</v>
      </c>
      <c r="J412">
        <v>14.281653</v>
      </c>
      <c r="K412">
        <v>17.58145</v>
      </c>
      <c r="L412">
        <v>53.125</v>
      </c>
      <c r="M412">
        <v>12.167199999999999</v>
      </c>
      <c r="N412">
        <v>141</v>
      </c>
      <c r="O412">
        <v>4028</v>
      </c>
      <c r="P412">
        <v>4169</v>
      </c>
    </row>
    <row r="413" spans="1:16" x14ac:dyDescent="0.3">
      <c r="A413">
        <v>412</v>
      </c>
      <c r="B413" t="s">
        <v>259</v>
      </c>
      <c r="C413">
        <v>1</v>
      </c>
      <c r="D413">
        <v>1</v>
      </c>
      <c r="E413">
        <v>2</v>
      </c>
      <c r="F413">
        <v>0</v>
      </c>
      <c r="G413">
        <v>4</v>
      </c>
      <c r="H413">
        <v>1</v>
      </c>
      <c r="I413">
        <v>2</v>
      </c>
      <c r="J413">
        <v>12.983347</v>
      </c>
      <c r="K413">
        <v>16.508099999999999</v>
      </c>
      <c r="L413">
        <v>75.291700000000006</v>
      </c>
      <c r="M413">
        <v>6.1254749999999998</v>
      </c>
      <c r="N413">
        <v>74</v>
      </c>
      <c r="O413">
        <v>2931</v>
      </c>
      <c r="P413">
        <v>3005</v>
      </c>
    </row>
    <row r="414" spans="1:16" x14ac:dyDescent="0.3">
      <c r="A414">
        <v>413</v>
      </c>
      <c r="B414" t="s">
        <v>260</v>
      </c>
      <c r="C414">
        <v>1</v>
      </c>
      <c r="D414">
        <v>1</v>
      </c>
      <c r="E414">
        <v>2</v>
      </c>
      <c r="F414">
        <v>0</v>
      </c>
      <c r="G414">
        <v>5</v>
      </c>
      <c r="H414">
        <v>1</v>
      </c>
      <c r="I414">
        <v>1</v>
      </c>
      <c r="J414">
        <v>14.076653</v>
      </c>
      <c r="K414">
        <v>17.58145</v>
      </c>
      <c r="L414">
        <v>63.458300000000001</v>
      </c>
      <c r="M414">
        <v>13.791682</v>
      </c>
      <c r="N414">
        <v>349</v>
      </c>
      <c r="O414">
        <v>3805</v>
      </c>
      <c r="P414">
        <v>4154</v>
      </c>
    </row>
    <row r="415" spans="1:16" x14ac:dyDescent="0.3">
      <c r="A415">
        <v>414</v>
      </c>
      <c r="B415" t="s">
        <v>261</v>
      </c>
      <c r="C415">
        <v>1</v>
      </c>
      <c r="D415">
        <v>1</v>
      </c>
      <c r="E415">
        <v>2</v>
      </c>
      <c r="F415">
        <v>0</v>
      </c>
      <c r="G415">
        <v>6</v>
      </c>
      <c r="H415">
        <v>0</v>
      </c>
      <c r="I415">
        <v>1</v>
      </c>
      <c r="J415">
        <v>14.213347000000001</v>
      </c>
      <c r="K415">
        <v>17.771249999999998</v>
      </c>
      <c r="L415">
        <v>53.458300000000001</v>
      </c>
      <c r="M415">
        <v>12.792242999999999</v>
      </c>
      <c r="N415">
        <v>1435</v>
      </c>
      <c r="O415">
        <v>2883</v>
      </c>
      <c r="P415">
        <v>4318</v>
      </c>
    </row>
    <row r="416" spans="1:16" x14ac:dyDescent="0.3">
      <c r="A416">
        <v>415</v>
      </c>
      <c r="B416" t="s">
        <v>262</v>
      </c>
      <c r="C416">
        <v>1</v>
      </c>
      <c r="D416">
        <v>1</v>
      </c>
      <c r="E416">
        <v>2</v>
      </c>
      <c r="F416">
        <v>0</v>
      </c>
      <c r="G416">
        <v>0</v>
      </c>
      <c r="H416">
        <v>0</v>
      </c>
      <c r="I416">
        <v>2</v>
      </c>
      <c r="J416">
        <v>11.48</v>
      </c>
      <c r="K416">
        <v>13.289400000000001</v>
      </c>
      <c r="L416">
        <v>51.583300000000001</v>
      </c>
      <c r="M416">
        <v>16.958504000000001</v>
      </c>
      <c r="N416">
        <v>618</v>
      </c>
      <c r="O416">
        <v>2071</v>
      </c>
      <c r="P416">
        <v>2689</v>
      </c>
    </row>
    <row r="417" spans="1:16" x14ac:dyDescent="0.3">
      <c r="A417">
        <v>416</v>
      </c>
      <c r="B417" t="s">
        <v>263</v>
      </c>
      <c r="C417">
        <v>1</v>
      </c>
      <c r="D417">
        <v>1</v>
      </c>
      <c r="E417">
        <v>2</v>
      </c>
      <c r="F417">
        <v>1</v>
      </c>
      <c r="G417">
        <v>1</v>
      </c>
      <c r="H417">
        <v>0</v>
      </c>
      <c r="I417">
        <v>1</v>
      </c>
      <c r="J417">
        <v>11.48</v>
      </c>
      <c r="K417">
        <v>13.669549999999999</v>
      </c>
      <c r="L417">
        <v>50.782600000000002</v>
      </c>
      <c r="M417">
        <v>15.348561</v>
      </c>
      <c r="N417">
        <v>502</v>
      </c>
      <c r="O417">
        <v>2627</v>
      </c>
      <c r="P417">
        <v>3129</v>
      </c>
    </row>
    <row r="418" spans="1:16" x14ac:dyDescent="0.3">
      <c r="A418">
        <v>417</v>
      </c>
      <c r="B418" t="s">
        <v>264</v>
      </c>
      <c r="C418">
        <v>1</v>
      </c>
      <c r="D418">
        <v>1</v>
      </c>
      <c r="E418">
        <v>2</v>
      </c>
      <c r="F418">
        <v>0</v>
      </c>
      <c r="G418">
        <v>2</v>
      </c>
      <c r="H418">
        <v>1</v>
      </c>
      <c r="I418">
        <v>1</v>
      </c>
      <c r="J418">
        <v>11.800865999999999</v>
      </c>
      <c r="K418">
        <v>14.755649999999999</v>
      </c>
      <c r="L418">
        <v>59.434800000000003</v>
      </c>
      <c r="M418">
        <v>13.783039</v>
      </c>
      <c r="N418">
        <v>163</v>
      </c>
      <c r="O418">
        <v>3614</v>
      </c>
      <c r="P418">
        <v>3777</v>
      </c>
    </row>
    <row r="419" spans="1:16" x14ac:dyDescent="0.3">
      <c r="A419">
        <v>418</v>
      </c>
      <c r="B419" t="s">
        <v>265</v>
      </c>
      <c r="C419">
        <v>1</v>
      </c>
      <c r="D419">
        <v>1</v>
      </c>
      <c r="E419">
        <v>2</v>
      </c>
      <c r="F419">
        <v>0</v>
      </c>
      <c r="G419">
        <v>3</v>
      </c>
      <c r="H419">
        <v>1</v>
      </c>
      <c r="I419">
        <v>1</v>
      </c>
      <c r="J419">
        <v>16.229153</v>
      </c>
      <c r="K419">
        <v>19.63335</v>
      </c>
      <c r="L419">
        <v>56.791699999999999</v>
      </c>
      <c r="M419">
        <v>15.709557</v>
      </c>
      <c r="N419">
        <v>394</v>
      </c>
      <c r="O419">
        <v>4379</v>
      </c>
      <c r="P419">
        <v>4773</v>
      </c>
    </row>
    <row r="420" spans="1:16" x14ac:dyDescent="0.3">
      <c r="A420">
        <v>419</v>
      </c>
      <c r="B420" t="s">
        <v>266</v>
      </c>
      <c r="C420">
        <v>1</v>
      </c>
      <c r="D420">
        <v>1</v>
      </c>
      <c r="E420">
        <v>2</v>
      </c>
      <c r="F420">
        <v>0</v>
      </c>
      <c r="G420">
        <v>4</v>
      </c>
      <c r="H420">
        <v>1</v>
      </c>
      <c r="I420">
        <v>1</v>
      </c>
      <c r="J420">
        <v>18.620847000000001</v>
      </c>
      <c r="K420">
        <v>22.222300000000001</v>
      </c>
      <c r="L420">
        <v>55.458300000000001</v>
      </c>
      <c r="M420">
        <v>12.791171</v>
      </c>
      <c r="N420">
        <v>516</v>
      </c>
      <c r="O420">
        <v>4546</v>
      </c>
      <c r="P420">
        <v>5062</v>
      </c>
    </row>
    <row r="421" spans="1:16" x14ac:dyDescent="0.3">
      <c r="A421">
        <v>420</v>
      </c>
      <c r="B421" t="s">
        <v>267</v>
      </c>
      <c r="C421">
        <v>1</v>
      </c>
      <c r="D421">
        <v>1</v>
      </c>
      <c r="E421">
        <v>2</v>
      </c>
      <c r="F421">
        <v>0</v>
      </c>
      <c r="G421">
        <v>5</v>
      </c>
      <c r="H421">
        <v>1</v>
      </c>
      <c r="I421">
        <v>2</v>
      </c>
      <c r="J421">
        <v>16.7075</v>
      </c>
      <c r="K421">
        <v>20.548549999999999</v>
      </c>
      <c r="L421">
        <v>73.75</v>
      </c>
      <c r="M421">
        <v>15.916988999999999</v>
      </c>
      <c r="N421">
        <v>246</v>
      </c>
      <c r="O421">
        <v>3241</v>
      </c>
      <c r="P421">
        <v>3487</v>
      </c>
    </row>
    <row r="422" spans="1:16" x14ac:dyDescent="0.3">
      <c r="A422">
        <v>421</v>
      </c>
      <c r="B422" t="s">
        <v>268</v>
      </c>
      <c r="C422">
        <v>1</v>
      </c>
      <c r="D422">
        <v>1</v>
      </c>
      <c r="E422">
        <v>2</v>
      </c>
      <c r="F422">
        <v>0</v>
      </c>
      <c r="G422">
        <v>6</v>
      </c>
      <c r="H422">
        <v>0</v>
      </c>
      <c r="I422">
        <v>1</v>
      </c>
      <c r="J422">
        <v>11.924153</v>
      </c>
      <c r="K422">
        <v>12.78375</v>
      </c>
      <c r="L422">
        <v>39.583300000000001</v>
      </c>
      <c r="M422">
        <v>28.250014</v>
      </c>
      <c r="N422">
        <v>317</v>
      </c>
      <c r="O422">
        <v>2415</v>
      </c>
      <c r="P422">
        <v>2732</v>
      </c>
    </row>
    <row r="423" spans="1:16" x14ac:dyDescent="0.3">
      <c r="A423">
        <v>422</v>
      </c>
      <c r="B423" t="s">
        <v>269</v>
      </c>
      <c r="C423">
        <v>1</v>
      </c>
      <c r="D423">
        <v>1</v>
      </c>
      <c r="E423">
        <v>2</v>
      </c>
      <c r="F423">
        <v>0</v>
      </c>
      <c r="G423">
        <v>0</v>
      </c>
      <c r="H423">
        <v>0</v>
      </c>
      <c r="I423">
        <v>1</v>
      </c>
      <c r="J423">
        <v>11.445847000000001</v>
      </c>
      <c r="K423">
        <v>13.4154</v>
      </c>
      <c r="L423">
        <v>41</v>
      </c>
      <c r="M423">
        <v>13.750343000000001</v>
      </c>
      <c r="N423">
        <v>515</v>
      </c>
      <c r="O423">
        <v>2874</v>
      </c>
      <c r="P423">
        <v>3389</v>
      </c>
    </row>
    <row r="424" spans="1:16" x14ac:dyDescent="0.3">
      <c r="A424">
        <v>423</v>
      </c>
      <c r="B424" t="s">
        <v>270</v>
      </c>
      <c r="C424">
        <v>1</v>
      </c>
      <c r="D424">
        <v>1</v>
      </c>
      <c r="E424">
        <v>2</v>
      </c>
      <c r="F424">
        <v>0</v>
      </c>
      <c r="G424">
        <v>1</v>
      </c>
      <c r="H424">
        <v>1</v>
      </c>
      <c r="I424">
        <v>1</v>
      </c>
      <c r="J424">
        <v>15.033346999999999</v>
      </c>
      <c r="K424">
        <v>17.8977</v>
      </c>
      <c r="L424">
        <v>49.083300000000001</v>
      </c>
      <c r="M424">
        <v>17.958210999999999</v>
      </c>
      <c r="N424">
        <v>253</v>
      </c>
      <c r="O424">
        <v>4069</v>
      </c>
      <c r="P424">
        <v>4322</v>
      </c>
    </row>
    <row r="425" spans="1:16" x14ac:dyDescent="0.3">
      <c r="A425">
        <v>424</v>
      </c>
      <c r="B425" t="s">
        <v>271</v>
      </c>
      <c r="C425">
        <v>1</v>
      </c>
      <c r="D425">
        <v>1</v>
      </c>
      <c r="E425">
        <v>2</v>
      </c>
      <c r="F425">
        <v>0</v>
      </c>
      <c r="G425">
        <v>2</v>
      </c>
      <c r="H425">
        <v>1</v>
      </c>
      <c r="I425">
        <v>1</v>
      </c>
      <c r="J425">
        <v>14.725847</v>
      </c>
      <c r="K425">
        <v>17.67625</v>
      </c>
      <c r="L425">
        <v>39.583300000000001</v>
      </c>
      <c r="M425">
        <v>12.958939000000001</v>
      </c>
      <c r="N425">
        <v>229</v>
      </c>
      <c r="O425">
        <v>4134</v>
      </c>
      <c r="P425">
        <v>4363</v>
      </c>
    </row>
    <row r="426" spans="1:16" x14ac:dyDescent="0.3">
      <c r="A426">
        <v>425</v>
      </c>
      <c r="B426" s="1">
        <v>43468</v>
      </c>
      <c r="C426">
        <v>1</v>
      </c>
      <c r="D426">
        <v>1</v>
      </c>
      <c r="E426">
        <v>3</v>
      </c>
      <c r="F426">
        <v>0</v>
      </c>
      <c r="G426">
        <v>4</v>
      </c>
      <c r="H426">
        <v>1</v>
      </c>
      <c r="I426">
        <v>1</v>
      </c>
      <c r="J426">
        <v>19.919153000000001</v>
      </c>
      <c r="K426">
        <v>23.768550000000001</v>
      </c>
      <c r="L426">
        <v>61.541699999999999</v>
      </c>
      <c r="M426">
        <v>15.208129</v>
      </c>
      <c r="N426">
        <v>325</v>
      </c>
      <c r="O426">
        <v>4665</v>
      </c>
      <c r="P426">
        <v>4990</v>
      </c>
    </row>
    <row r="427" spans="1:16" x14ac:dyDescent="0.3">
      <c r="A427">
        <v>426</v>
      </c>
      <c r="B427" s="1">
        <v>43499</v>
      </c>
      <c r="C427">
        <v>1</v>
      </c>
      <c r="D427">
        <v>1</v>
      </c>
      <c r="E427">
        <v>3</v>
      </c>
      <c r="F427">
        <v>0</v>
      </c>
      <c r="G427">
        <v>5</v>
      </c>
      <c r="H427">
        <v>1</v>
      </c>
      <c r="I427">
        <v>2</v>
      </c>
      <c r="J427">
        <v>14.486653</v>
      </c>
      <c r="K427">
        <v>17.992100000000001</v>
      </c>
      <c r="L427">
        <v>65.708299999999994</v>
      </c>
      <c r="M427">
        <v>9.7085679999999996</v>
      </c>
      <c r="N427">
        <v>246</v>
      </c>
      <c r="O427">
        <v>2948</v>
      </c>
      <c r="P427">
        <v>3194</v>
      </c>
    </row>
    <row r="428" spans="1:16" x14ac:dyDescent="0.3">
      <c r="A428">
        <v>427</v>
      </c>
      <c r="B428" s="1">
        <v>43527</v>
      </c>
      <c r="C428">
        <v>1</v>
      </c>
      <c r="D428">
        <v>1</v>
      </c>
      <c r="E428">
        <v>3</v>
      </c>
      <c r="F428">
        <v>0</v>
      </c>
      <c r="G428">
        <v>6</v>
      </c>
      <c r="H428">
        <v>0</v>
      </c>
      <c r="I428">
        <v>2</v>
      </c>
      <c r="J428">
        <v>16.980847000000001</v>
      </c>
      <c r="K428">
        <v>20.674600000000002</v>
      </c>
      <c r="L428">
        <v>62.125</v>
      </c>
      <c r="M428">
        <v>10.792293000000001</v>
      </c>
      <c r="N428">
        <v>956</v>
      </c>
      <c r="O428">
        <v>3110</v>
      </c>
      <c r="P428">
        <v>4066</v>
      </c>
    </row>
    <row r="429" spans="1:16" x14ac:dyDescent="0.3">
      <c r="A429">
        <v>428</v>
      </c>
      <c r="B429" s="1">
        <v>43558</v>
      </c>
      <c r="C429">
        <v>1</v>
      </c>
      <c r="D429">
        <v>1</v>
      </c>
      <c r="E429">
        <v>3</v>
      </c>
      <c r="F429">
        <v>0</v>
      </c>
      <c r="G429">
        <v>0</v>
      </c>
      <c r="H429">
        <v>0</v>
      </c>
      <c r="I429">
        <v>1</v>
      </c>
      <c r="J429">
        <v>13.359152999999999</v>
      </c>
      <c r="K429">
        <v>15.15105</v>
      </c>
      <c r="L429">
        <v>40.333300000000001</v>
      </c>
      <c r="M429">
        <v>22.416257000000002</v>
      </c>
      <c r="N429">
        <v>710</v>
      </c>
      <c r="O429">
        <v>2713</v>
      </c>
      <c r="P429">
        <v>3423</v>
      </c>
    </row>
    <row r="430" spans="1:16" x14ac:dyDescent="0.3">
      <c r="A430">
        <v>429</v>
      </c>
      <c r="B430" s="1">
        <v>43588</v>
      </c>
      <c r="C430">
        <v>1</v>
      </c>
      <c r="D430">
        <v>1</v>
      </c>
      <c r="E430">
        <v>3</v>
      </c>
      <c r="F430">
        <v>0</v>
      </c>
      <c r="G430">
        <v>1</v>
      </c>
      <c r="H430">
        <v>1</v>
      </c>
      <c r="I430">
        <v>1</v>
      </c>
      <c r="J430">
        <v>9.9766530000000007</v>
      </c>
      <c r="K430">
        <v>12.05855</v>
      </c>
      <c r="L430">
        <v>50.625</v>
      </c>
      <c r="M430">
        <v>15.333486000000001</v>
      </c>
      <c r="N430">
        <v>203</v>
      </c>
      <c r="O430">
        <v>3130</v>
      </c>
      <c r="P430">
        <v>3333</v>
      </c>
    </row>
    <row r="431" spans="1:16" x14ac:dyDescent="0.3">
      <c r="A431">
        <v>430</v>
      </c>
      <c r="B431" s="1">
        <v>43619</v>
      </c>
      <c r="C431">
        <v>1</v>
      </c>
      <c r="D431">
        <v>1</v>
      </c>
      <c r="E431">
        <v>3</v>
      </c>
      <c r="F431">
        <v>0</v>
      </c>
      <c r="G431">
        <v>2</v>
      </c>
      <c r="H431">
        <v>1</v>
      </c>
      <c r="I431">
        <v>1</v>
      </c>
      <c r="J431">
        <v>10.591653000000001</v>
      </c>
      <c r="K431">
        <v>12.7521</v>
      </c>
      <c r="L431">
        <v>45.666699999999999</v>
      </c>
      <c r="M431">
        <v>13.458625</v>
      </c>
      <c r="N431">
        <v>221</v>
      </c>
      <c r="O431">
        <v>3735</v>
      </c>
      <c r="P431">
        <v>3956</v>
      </c>
    </row>
    <row r="432" spans="1:16" x14ac:dyDescent="0.3">
      <c r="A432">
        <v>431</v>
      </c>
      <c r="B432" s="1">
        <v>43649</v>
      </c>
      <c r="C432">
        <v>1</v>
      </c>
      <c r="D432">
        <v>1</v>
      </c>
      <c r="E432">
        <v>3</v>
      </c>
      <c r="F432">
        <v>0</v>
      </c>
      <c r="G432">
        <v>3</v>
      </c>
      <c r="H432">
        <v>1</v>
      </c>
      <c r="I432">
        <v>1</v>
      </c>
      <c r="J432">
        <v>16.570847000000001</v>
      </c>
      <c r="K432">
        <v>19.254999999999999</v>
      </c>
      <c r="L432">
        <v>51.333300000000001</v>
      </c>
      <c r="M432">
        <v>23.167193000000001</v>
      </c>
      <c r="N432">
        <v>432</v>
      </c>
      <c r="O432">
        <v>4484</v>
      </c>
      <c r="P432">
        <v>4916</v>
      </c>
    </row>
    <row r="433" spans="1:16" x14ac:dyDescent="0.3">
      <c r="A433">
        <v>432</v>
      </c>
      <c r="B433" s="1">
        <v>43680</v>
      </c>
      <c r="C433">
        <v>1</v>
      </c>
      <c r="D433">
        <v>1</v>
      </c>
      <c r="E433">
        <v>3</v>
      </c>
      <c r="F433">
        <v>0</v>
      </c>
      <c r="G433">
        <v>4</v>
      </c>
      <c r="H433">
        <v>1</v>
      </c>
      <c r="I433">
        <v>1</v>
      </c>
      <c r="J433">
        <v>21.627500000000001</v>
      </c>
      <c r="K433">
        <v>26.2302</v>
      </c>
      <c r="L433">
        <v>56.75</v>
      </c>
      <c r="M433">
        <v>29.584720999999998</v>
      </c>
      <c r="N433">
        <v>486</v>
      </c>
      <c r="O433">
        <v>4896</v>
      </c>
      <c r="P433">
        <v>5382</v>
      </c>
    </row>
    <row r="434" spans="1:16" x14ac:dyDescent="0.3">
      <c r="A434">
        <v>433</v>
      </c>
      <c r="B434" s="1">
        <v>43711</v>
      </c>
      <c r="C434">
        <v>1</v>
      </c>
      <c r="D434">
        <v>1</v>
      </c>
      <c r="E434">
        <v>3</v>
      </c>
      <c r="F434">
        <v>0</v>
      </c>
      <c r="G434">
        <v>5</v>
      </c>
      <c r="H434">
        <v>1</v>
      </c>
      <c r="I434">
        <v>2</v>
      </c>
      <c r="J434">
        <v>16.844152999999999</v>
      </c>
      <c r="K434">
        <v>19.854150000000001</v>
      </c>
      <c r="L434">
        <v>40.708300000000001</v>
      </c>
      <c r="M434">
        <v>27.791599999999999</v>
      </c>
      <c r="N434">
        <v>447</v>
      </c>
      <c r="O434">
        <v>4122</v>
      </c>
      <c r="P434">
        <v>4569</v>
      </c>
    </row>
    <row r="435" spans="1:16" x14ac:dyDescent="0.3">
      <c r="A435">
        <v>434</v>
      </c>
      <c r="B435" s="1">
        <v>43741</v>
      </c>
      <c r="C435">
        <v>1</v>
      </c>
      <c r="D435">
        <v>1</v>
      </c>
      <c r="E435">
        <v>3</v>
      </c>
      <c r="F435">
        <v>0</v>
      </c>
      <c r="G435">
        <v>6</v>
      </c>
      <c r="H435">
        <v>0</v>
      </c>
      <c r="I435">
        <v>1</v>
      </c>
      <c r="J435">
        <v>11.7875</v>
      </c>
      <c r="K435">
        <v>13.888350000000001</v>
      </c>
      <c r="L435">
        <v>35.041699999999999</v>
      </c>
      <c r="M435">
        <v>15.125249999999999</v>
      </c>
      <c r="N435">
        <v>968</v>
      </c>
      <c r="O435">
        <v>3150</v>
      </c>
      <c r="P435">
        <v>4118</v>
      </c>
    </row>
    <row r="436" spans="1:16" x14ac:dyDescent="0.3">
      <c r="A436">
        <v>435</v>
      </c>
      <c r="B436" s="1">
        <v>43772</v>
      </c>
      <c r="C436">
        <v>1</v>
      </c>
      <c r="D436">
        <v>1</v>
      </c>
      <c r="E436">
        <v>3</v>
      </c>
      <c r="F436">
        <v>0</v>
      </c>
      <c r="G436">
        <v>0</v>
      </c>
      <c r="H436">
        <v>0</v>
      </c>
      <c r="I436">
        <v>1</v>
      </c>
      <c r="J436">
        <v>14.831299</v>
      </c>
      <c r="K436">
        <v>17.983499999999999</v>
      </c>
      <c r="L436">
        <v>47.695700000000002</v>
      </c>
      <c r="M436">
        <v>14.913328999999999</v>
      </c>
      <c r="N436">
        <v>1658</v>
      </c>
      <c r="O436">
        <v>3253</v>
      </c>
      <c r="P436">
        <v>4911</v>
      </c>
    </row>
    <row r="437" spans="1:16" x14ac:dyDescent="0.3">
      <c r="A437">
        <v>436</v>
      </c>
      <c r="B437" s="1">
        <v>43802</v>
      </c>
      <c r="C437">
        <v>1</v>
      </c>
      <c r="D437">
        <v>1</v>
      </c>
      <c r="E437">
        <v>3</v>
      </c>
      <c r="F437">
        <v>0</v>
      </c>
      <c r="G437">
        <v>1</v>
      </c>
      <c r="H437">
        <v>1</v>
      </c>
      <c r="I437">
        <v>1</v>
      </c>
      <c r="J437">
        <v>19.133347000000001</v>
      </c>
      <c r="K437">
        <v>22.979600000000001</v>
      </c>
      <c r="L437">
        <v>48.916699999999999</v>
      </c>
      <c r="M437">
        <v>13.916771000000001</v>
      </c>
      <c r="N437">
        <v>838</v>
      </c>
      <c r="O437">
        <v>4460</v>
      </c>
      <c r="P437">
        <v>5298</v>
      </c>
    </row>
    <row r="438" spans="1:16" x14ac:dyDescent="0.3">
      <c r="A438">
        <v>437</v>
      </c>
      <c r="B438" t="s">
        <v>272</v>
      </c>
      <c r="C438">
        <v>1</v>
      </c>
      <c r="D438">
        <v>1</v>
      </c>
      <c r="E438">
        <v>3</v>
      </c>
      <c r="F438">
        <v>0</v>
      </c>
      <c r="G438">
        <v>2</v>
      </c>
      <c r="H438">
        <v>1</v>
      </c>
      <c r="I438">
        <v>1</v>
      </c>
      <c r="J438">
        <v>23.164999999999999</v>
      </c>
      <c r="K438">
        <v>27.146450000000002</v>
      </c>
      <c r="L438">
        <v>61.75</v>
      </c>
      <c r="M438">
        <v>15.87565</v>
      </c>
      <c r="N438">
        <v>762</v>
      </c>
      <c r="O438">
        <v>5085</v>
      </c>
      <c r="P438">
        <v>5847</v>
      </c>
    </row>
    <row r="439" spans="1:16" x14ac:dyDescent="0.3">
      <c r="A439">
        <v>438</v>
      </c>
      <c r="B439" t="s">
        <v>273</v>
      </c>
      <c r="C439">
        <v>1</v>
      </c>
      <c r="D439">
        <v>1</v>
      </c>
      <c r="E439">
        <v>3</v>
      </c>
      <c r="F439">
        <v>0</v>
      </c>
      <c r="G439">
        <v>3</v>
      </c>
      <c r="H439">
        <v>1</v>
      </c>
      <c r="I439">
        <v>1</v>
      </c>
      <c r="J439">
        <v>23.4725</v>
      </c>
      <c r="K439">
        <v>27.43085</v>
      </c>
      <c r="L439">
        <v>50.708300000000001</v>
      </c>
      <c r="M439">
        <v>7.7091539999999998</v>
      </c>
      <c r="N439">
        <v>997</v>
      </c>
      <c r="O439">
        <v>5315</v>
      </c>
      <c r="P439">
        <v>6312</v>
      </c>
    </row>
    <row r="440" spans="1:16" x14ac:dyDescent="0.3">
      <c r="A440">
        <v>439</v>
      </c>
      <c r="B440" t="s">
        <v>274</v>
      </c>
      <c r="C440">
        <v>1</v>
      </c>
      <c r="D440">
        <v>1</v>
      </c>
      <c r="E440">
        <v>3</v>
      </c>
      <c r="F440">
        <v>0</v>
      </c>
      <c r="G440">
        <v>4</v>
      </c>
      <c r="H440">
        <v>1</v>
      </c>
      <c r="I440">
        <v>1</v>
      </c>
      <c r="J440">
        <v>22.857500000000002</v>
      </c>
      <c r="K440">
        <v>26.641249999999999</v>
      </c>
      <c r="L440">
        <v>57.958300000000001</v>
      </c>
      <c r="M440">
        <v>10.042161</v>
      </c>
      <c r="N440">
        <v>1005</v>
      </c>
      <c r="O440">
        <v>5187</v>
      </c>
      <c r="P440">
        <v>6192</v>
      </c>
    </row>
    <row r="441" spans="1:16" x14ac:dyDescent="0.3">
      <c r="A441">
        <v>440</v>
      </c>
      <c r="B441" t="s">
        <v>275</v>
      </c>
      <c r="C441">
        <v>1</v>
      </c>
      <c r="D441">
        <v>1</v>
      </c>
      <c r="E441">
        <v>3</v>
      </c>
      <c r="F441">
        <v>0</v>
      </c>
      <c r="G441">
        <v>5</v>
      </c>
      <c r="H441">
        <v>1</v>
      </c>
      <c r="I441">
        <v>2</v>
      </c>
      <c r="J441">
        <v>17.869153000000001</v>
      </c>
      <c r="K441">
        <v>21.811450000000001</v>
      </c>
      <c r="L441">
        <v>84.208299999999994</v>
      </c>
      <c r="M441">
        <v>7.5838640000000002</v>
      </c>
      <c r="N441">
        <v>548</v>
      </c>
      <c r="O441">
        <v>3830</v>
      </c>
      <c r="P441">
        <v>4378</v>
      </c>
    </row>
    <row r="442" spans="1:16" x14ac:dyDescent="0.3">
      <c r="A442">
        <v>441</v>
      </c>
      <c r="B442" t="s">
        <v>276</v>
      </c>
      <c r="C442">
        <v>1</v>
      </c>
      <c r="D442">
        <v>1</v>
      </c>
      <c r="E442">
        <v>3</v>
      </c>
      <c r="F442">
        <v>0</v>
      </c>
      <c r="G442">
        <v>6</v>
      </c>
      <c r="H442">
        <v>0</v>
      </c>
      <c r="I442">
        <v>2</v>
      </c>
      <c r="J442">
        <v>21.080846999999999</v>
      </c>
      <c r="K442">
        <v>25.252300000000002</v>
      </c>
      <c r="L442">
        <v>75.583299999999994</v>
      </c>
      <c r="M442">
        <v>7.4171680000000002</v>
      </c>
      <c r="N442">
        <v>3155</v>
      </c>
      <c r="O442">
        <v>4681</v>
      </c>
      <c r="P442">
        <v>7836</v>
      </c>
    </row>
    <row r="443" spans="1:16" x14ac:dyDescent="0.3">
      <c r="A443">
        <v>442</v>
      </c>
      <c r="B443" t="s">
        <v>277</v>
      </c>
      <c r="C443">
        <v>1</v>
      </c>
      <c r="D443">
        <v>1</v>
      </c>
      <c r="E443">
        <v>3</v>
      </c>
      <c r="F443">
        <v>0</v>
      </c>
      <c r="G443">
        <v>0</v>
      </c>
      <c r="H443">
        <v>0</v>
      </c>
      <c r="I443">
        <v>2</v>
      </c>
      <c r="J443">
        <v>19.372499999999999</v>
      </c>
      <c r="K443">
        <v>23.2</v>
      </c>
      <c r="L443">
        <v>81</v>
      </c>
      <c r="M443">
        <v>8.5011609999999997</v>
      </c>
      <c r="N443">
        <v>2207</v>
      </c>
      <c r="O443">
        <v>3685</v>
      </c>
      <c r="P443">
        <v>5892</v>
      </c>
    </row>
    <row r="444" spans="1:16" x14ac:dyDescent="0.3">
      <c r="A444">
        <v>443</v>
      </c>
      <c r="B444" t="s">
        <v>278</v>
      </c>
      <c r="C444">
        <v>1</v>
      </c>
      <c r="D444">
        <v>1</v>
      </c>
      <c r="E444">
        <v>3</v>
      </c>
      <c r="F444">
        <v>0</v>
      </c>
      <c r="G444">
        <v>1</v>
      </c>
      <c r="H444">
        <v>1</v>
      </c>
      <c r="I444">
        <v>1</v>
      </c>
      <c r="J444">
        <v>22.344999999999999</v>
      </c>
      <c r="K444">
        <v>26.64105</v>
      </c>
      <c r="L444">
        <v>72.875</v>
      </c>
      <c r="M444">
        <v>10.875239000000001</v>
      </c>
      <c r="N444">
        <v>982</v>
      </c>
      <c r="O444">
        <v>5171</v>
      </c>
      <c r="P444">
        <v>6153</v>
      </c>
    </row>
    <row r="445" spans="1:16" x14ac:dyDescent="0.3">
      <c r="A445">
        <v>444</v>
      </c>
      <c r="B445" t="s">
        <v>279</v>
      </c>
      <c r="C445">
        <v>1</v>
      </c>
      <c r="D445">
        <v>1</v>
      </c>
      <c r="E445">
        <v>3</v>
      </c>
      <c r="F445">
        <v>0</v>
      </c>
      <c r="G445">
        <v>2</v>
      </c>
      <c r="H445">
        <v>1</v>
      </c>
      <c r="I445">
        <v>1</v>
      </c>
      <c r="J445">
        <v>22.994153000000001</v>
      </c>
      <c r="K445">
        <v>26.926649999999999</v>
      </c>
      <c r="L445">
        <v>80.791700000000006</v>
      </c>
      <c r="M445">
        <v>8.1251569999999997</v>
      </c>
      <c r="N445">
        <v>1051</v>
      </c>
      <c r="O445">
        <v>5042</v>
      </c>
      <c r="P445">
        <v>6093</v>
      </c>
    </row>
    <row r="446" spans="1:16" x14ac:dyDescent="0.3">
      <c r="A446">
        <v>445</v>
      </c>
      <c r="B446" t="s">
        <v>280</v>
      </c>
      <c r="C446">
        <v>2</v>
      </c>
      <c r="D446">
        <v>1</v>
      </c>
      <c r="E446">
        <v>3</v>
      </c>
      <c r="F446">
        <v>0</v>
      </c>
      <c r="G446">
        <v>3</v>
      </c>
      <c r="H446">
        <v>1</v>
      </c>
      <c r="I446">
        <v>2</v>
      </c>
      <c r="J446">
        <v>21.798347</v>
      </c>
      <c r="K446">
        <v>25.6629</v>
      </c>
      <c r="L446">
        <v>82.125</v>
      </c>
      <c r="M446">
        <v>6.0004061000000002</v>
      </c>
      <c r="N446">
        <v>1122</v>
      </c>
      <c r="O446">
        <v>5108</v>
      </c>
      <c r="P446">
        <v>6230</v>
      </c>
    </row>
    <row r="447" spans="1:16" x14ac:dyDescent="0.3">
      <c r="A447">
        <v>446</v>
      </c>
      <c r="B447" t="s">
        <v>281</v>
      </c>
      <c r="C447">
        <v>2</v>
      </c>
      <c r="D447">
        <v>1</v>
      </c>
      <c r="E447">
        <v>3</v>
      </c>
      <c r="F447">
        <v>0</v>
      </c>
      <c r="G447">
        <v>4</v>
      </c>
      <c r="H447">
        <v>1</v>
      </c>
      <c r="I447">
        <v>1</v>
      </c>
      <c r="J447">
        <v>22.720846999999999</v>
      </c>
      <c r="K447">
        <v>26.57835</v>
      </c>
      <c r="L447">
        <v>83.125</v>
      </c>
      <c r="M447">
        <v>7.8766540000000003</v>
      </c>
      <c r="N447">
        <v>1334</v>
      </c>
      <c r="O447">
        <v>5537</v>
      </c>
      <c r="P447">
        <v>6871</v>
      </c>
    </row>
    <row r="448" spans="1:16" x14ac:dyDescent="0.3">
      <c r="A448">
        <v>447</v>
      </c>
      <c r="B448" t="s">
        <v>282</v>
      </c>
      <c r="C448">
        <v>2</v>
      </c>
      <c r="D448">
        <v>1</v>
      </c>
      <c r="E448">
        <v>3</v>
      </c>
      <c r="F448">
        <v>0</v>
      </c>
      <c r="G448">
        <v>5</v>
      </c>
      <c r="H448">
        <v>1</v>
      </c>
      <c r="I448">
        <v>2</v>
      </c>
      <c r="J448">
        <v>24.668347000000001</v>
      </c>
      <c r="K448">
        <v>28.503350000000001</v>
      </c>
      <c r="L448">
        <v>69.416700000000006</v>
      </c>
      <c r="M448">
        <v>7.7920999999999996</v>
      </c>
      <c r="N448">
        <v>2469</v>
      </c>
      <c r="O448">
        <v>5893</v>
      </c>
      <c r="P448">
        <v>8362</v>
      </c>
    </row>
    <row r="449" spans="1:16" x14ac:dyDescent="0.3">
      <c r="A449">
        <v>448</v>
      </c>
      <c r="B449" t="s">
        <v>283</v>
      </c>
      <c r="C449">
        <v>2</v>
      </c>
      <c r="D449">
        <v>1</v>
      </c>
      <c r="E449">
        <v>3</v>
      </c>
      <c r="F449">
        <v>0</v>
      </c>
      <c r="G449">
        <v>6</v>
      </c>
      <c r="H449">
        <v>0</v>
      </c>
      <c r="I449">
        <v>2</v>
      </c>
      <c r="J449">
        <v>20.602499999999999</v>
      </c>
      <c r="K449">
        <v>24.336649999999999</v>
      </c>
      <c r="L449">
        <v>88.541700000000006</v>
      </c>
      <c r="M449">
        <v>12.916461</v>
      </c>
      <c r="N449">
        <v>1033</v>
      </c>
      <c r="O449">
        <v>2339</v>
      </c>
      <c r="P449">
        <v>3372</v>
      </c>
    </row>
    <row r="450" spans="1:16" x14ac:dyDescent="0.3">
      <c r="A450">
        <v>449</v>
      </c>
      <c r="B450" t="s">
        <v>284</v>
      </c>
      <c r="C450">
        <v>2</v>
      </c>
      <c r="D450">
        <v>1</v>
      </c>
      <c r="E450">
        <v>3</v>
      </c>
      <c r="F450">
        <v>0</v>
      </c>
      <c r="G450">
        <v>0</v>
      </c>
      <c r="H450">
        <v>0</v>
      </c>
      <c r="I450">
        <v>2</v>
      </c>
      <c r="J450">
        <v>17.9375</v>
      </c>
      <c r="K450">
        <v>21.874400000000001</v>
      </c>
      <c r="L450">
        <v>88.083299999999994</v>
      </c>
      <c r="M450">
        <v>14.791925000000001</v>
      </c>
      <c r="N450">
        <v>1532</v>
      </c>
      <c r="O450">
        <v>3464</v>
      </c>
      <c r="P450">
        <v>4996</v>
      </c>
    </row>
    <row r="451" spans="1:16" x14ac:dyDescent="0.3">
      <c r="A451">
        <v>450</v>
      </c>
      <c r="B451" t="s">
        <v>285</v>
      </c>
      <c r="C451">
        <v>2</v>
      </c>
      <c r="D451">
        <v>1</v>
      </c>
      <c r="E451">
        <v>3</v>
      </c>
      <c r="F451">
        <v>0</v>
      </c>
      <c r="G451">
        <v>1</v>
      </c>
      <c r="H451">
        <v>1</v>
      </c>
      <c r="I451">
        <v>1</v>
      </c>
      <c r="J451">
        <v>18.279153000000001</v>
      </c>
      <c r="K451">
        <v>21.9375</v>
      </c>
      <c r="L451">
        <v>47.791699999999999</v>
      </c>
      <c r="M451">
        <v>25.917007000000002</v>
      </c>
      <c r="N451">
        <v>795</v>
      </c>
      <c r="O451">
        <v>4763</v>
      </c>
      <c r="P451">
        <v>5558</v>
      </c>
    </row>
    <row r="452" spans="1:16" x14ac:dyDescent="0.3">
      <c r="A452">
        <v>451</v>
      </c>
      <c r="B452" t="s">
        <v>286</v>
      </c>
      <c r="C452">
        <v>2</v>
      </c>
      <c r="D452">
        <v>1</v>
      </c>
      <c r="E452">
        <v>3</v>
      </c>
      <c r="F452">
        <v>0</v>
      </c>
      <c r="G452">
        <v>2</v>
      </c>
      <c r="H452">
        <v>1</v>
      </c>
      <c r="I452">
        <v>1</v>
      </c>
      <c r="J452">
        <v>13.256653</v>
      </c>
      <c r="K452">
        <v>15.7827</v>
      </c>
      <c r="L452">
        <v>29</v>
      </c>
      <c r="M452">
        <v>12.541864</v>
      </c>
      <c r="N452">
        <v>531</v>
      </c>
      <c r="O452">
        <v>4571</v>
      </c>
      <c r="P452">
        <v>5102</v>
      </c>
    </row>
    <row r="453" spans="1:16" x14ac:dyDescent="0.3">
      <c r="A453">
        <v>452</v>
      </c>
      <c r="B453" t="s">
        <v>287</v>
      </c>
      <c r="C453">
        <v>2</v>
      </c>
      <c r="D453">
        <v>1</v>
      </c>
      <c r="E453">
        <v>3</v>
      </c>
      <c r="F453">
        <v>0</v>
      </c>
      <c r="G453">
        <v>3</v>
      </c>
      <c r="H453">
        <v>1</v>
      </c>
      <c r="I453">
        <v>1</v>
      </c>
      <c r="J453">
        <v>19.850847000000002</v>
      </c>
      <c r="K453">
        <v>23.547499999999999</v>
      </c>
      <c r="L453">
        <v>48.125</v>
      </c>
      <c r="M453">
        <v>19.541957</v>
      </c>
      <c r="N453">
        <v>674</v>
      </c>
      <c r="O453">
        <v>5024</v>
      </c>
      <c r="P453">
        <v>5698</v>
      </c>
    </row>
    <row r="454" spans="1:16" x14ac:dyDescent="0.3">
      <c r="A454">
        <v>453</v>
      </c>
      <c r="B454" t="s">
        <v>288</v>
      </c>
      <c r="C454">
        <v>2</v>
      </c>
      <c r="D454">
        <v>1</v>
      </c>
      <c r="E454">
        <v>3</v>
      </c>
      <c r="F454">
        <v>0</v>
      </c>
      <c r="G454">
        <v>4</v>
      </c>
      <c r="H454">
        <v>1</v>
      </c>
      <c r="I454">
        <v>1</v>
      </c>
      <c r="J454">
        <v>20.260846999999998</v>
      </c>
      <c r="K454">
        <v>24.115200000000002</v>
      </c>
      <c r="L454">
        <v>43.916699999999999</v>
      </c>
      <c r="M454">
        <v>21.416550000000001</v>
      </c>
      <c r="N454">
        <v>834</v>
      </c>
      <c r="O454">
        <v>5299</v>
      </c>
      <c r="P454">
        <v>6133</v>
      </c>
    </row>
    <row r="455" spans="1:16" x14ac:dyDescent="0.3">
      <c r="A455">
        <v>454</v>
      </c>
      <c r="B455" t="s">
        <v>289</v>
      </c>
      <c r="C455">
        <v>2</v>
      </c>
      <c r="D455">
        <v>1</v>
      </c>
      <c r="E455">
        <v>3</v>
      </c>
      <c r="F455">
        <v>0</v>
      </c>
      <c r="G455">
        <v>5</v>
      </c>
      <c r="H455">
        <v>1</v>
      </c>
      <c r="I455">
        <v>2</v>
      </c>
      <c r="J455">
        <v>15.17</v>
      </c>
      <c r="K455">
        <v>18.78105</v>
      </c>
      <c r="L455">
        <v>58.083300000000001</v>
      </c>
      <c r="M455">
        <v>9.250489</v>
      </c>
      <c r="N455">
        <v>796</v>
      </c>
      <c r="O455">
        <v>4663</v>
      </c>
      <c r="P455">
        <v>5459</v>
      </c>
    </row>
    <row r="456" spans="1:16" x14ac:dyDescent="0.3">
      <c r="A456">
        <v>455</v>
      </c>
      <c r="B456" t="s">
        <v>290</v>
      </c>
      <c r="C456">
        <v>2</v>
      </c>
      <c r="D456">
        <v>1</v>
      </c>
      <c r="E456">
        <v>3</v>
      </c>
      <c r="F456">
        <v>0</v>
      </c>
      <c r="G456">
        <v>6</v>
      </c>
      <c r="H456">
        <v>0</v>
      </c>
      <c r="I456">
        <v>2</v>
      </c>
      <c r="J456">
        <v>17.390847000000001</v>
      </c>
      <c r="K456">
        <v>21.0854</v>
      </c>
      <c r="L456">
        <v>73.833299999999994</v>
      </c>
      <c r="M456">
        <v>16.791339000000001</v>
      </c>
      <c r="N456">
        <v>2301</v>
      </c>
      <c r="O456">
        <v>3934</v>
      </c>
      <c r="P456">
        <v>6235</v>
      </c>
    </row>
    <row r="457" spans="1:16" x14ac:dyDescent="0.3">
      <c r="A457">
        <v>456</v>
      </c>
      <c r="B457" s="1">
        <v>43469</v>
      </c>
      <c r="C457">
        <v>2</v>
      </c>
      <c r="D457">
        <v>1</v>
      </c>
      <c r="E457">
        <v>4</v>
      </c>
      <c r="F457">
        <v>0</v>
      </c>
      <c r="G457">
        <v>0</v>
      </c>
      <c r="H457">
        <v>0</v>
      </c>
      <c r="I457">
        <v>2</v>
      </c>
      <c r="J457">
        <v>17.459153000000001</v>
      </c>
      <c r="K457">
        <v>20.864350000000002</v>
      </c>
      <c r="L457">
        <v>67.625</v>
      </c>
      <c r="M457">
        <v>11.541888999999999</v>
      </c>
      <c r="N457">
        <v>2347</v>
      </c>
      <c r="O457">
        <v>3694</v>
      </c>
      <c r="P457">
        <v>6041</v>
      </c>
    </row>
    <row r="458" spans="1:16" x14ac:dyDescent="0.3">
      <c r="A458">
        <v>457</v>
      </c>
      <c r="B458" s="1">
        <v>43500</v>
      </c>
      <c r="C458">
        <v>2</v>
      </c>
      <c r="D458">
        <v>1</v>
      </c>
      <c r="E458">
        <v>4</v>
      </c>
      <c r="F458">
        <v>0</v>
      </c>
      <c r="G458">
        <v>1</v>
      </c>
      <c r="H458">
        <v>1</v>
      </c>
      <c r="I458">
        <v>1</v>
      </c>
      <c r="J458">
        <v>17.790433</v>
      </c>
      <c r="K458">
        <v>21.37565</v>
      </c>
      <c r="L458">
        <v>50.434800000000003</v>
      </c>
      <c r="M458">
        <v>20.913312999999999</v>
      </c>
      <c r="N458">
        <v>1208</v>
      </c>
      <c r="O458">
        <v>4728</v>
      </c>
      <c r="P458">
        <v>5936</v>
      </c>
    </row>
    <row r="459" spans="1:16" x14ac:dyDescent="0.3">
      <c r="A459">
        <v>458</v>
      </c>
      <c r="B459" s="1">
        <v>43528</v>
      </c>
      <c r="C459">
        <v>2</v>
      </c>
      <c r="D459">
        <v>1</v>
      </c>
      <c r="E459">
        <v>4</v>
      </c>
      <c r="F459">
        <v>0</v>
      </c>
      <c r="G459">
        <v>2</v>
      </c>
      <c r="H459">
        <v>1</v>
      </c>
      <c r="I459">
        <v>1</v>
      </c>
      <c r="J459">
        <v>19.133347000000001</v>
      </c>
      <c r="K459">
        <v>23.074149999999999</v>
      </c>
      <c r="L459">
        <v>39.666699999999999</v>
      </c>
      <c r="M459">
        <v>6.7089109999999996</v>
      </c>
      <c r="N459">
        <v>1348</v>
      </c>
      <c r="O459">
        <v>5424</v>
      </c>
      <c r="P459">
        <v>6772</v>
      </c>
    </row>
    <row r="460" spans="1:16" x14ac:dyDescent="0.3">
      <c r="A460">
        <v>459</v>
      </c>
      <c r="B460" s="1">
        <v>43559</v>
      </c>
      <c r="C460">
        <v>2</v>
      </c>
      <c r="D460">
        <v>1</v>
      </c>
      <c r="E460">
        <v>4</v>
      </c>
      <c r="F460">
        <v>0</v>
      </c>
      <c r="G460">
        <v>3</v>
      </c>
      <c r="H460">
        <v>1</v>
      </c>
      <c r="I460">
        <v>1</v>
      </c>
      <c r="J460">
        <v>22.208347</v>
      </c>
      <c r="K460">
        <v>26.672499999999999</v>
      </c>
      <c r="L460">
        <v>46.958300000000001</v>
      </c>
      <c r="M460">
        <v>12.125325</v>
      </c>
      <c r="N460">
        <v>1058</v>
      </c>
      <c r="O460">
        <v>5378</v>
      </c>
      <c r="P460">
        <v>6436</v>
      </c>
    </row>
    <row r="461" spans="1:16" x14ac:dyDescent="0.3">
      <c r="A461">
        <v>460</v>
      </c>
      <c r="B461" s="1">
        <v>43589</v>
      </c>
      <c r="C461">
        <v>2</v>
      </c>
      <c r="D461">
        <v>1</v>
      </c>
      <c r="E461">
        <v>4</v>
      </c>
      <c r="F461">
        <v>0</v>
      </c>
      <c r="G461">
        <v>4</v>
      </c>
      <c r="H461">
        <v>1</v>
      </c>
      <c r="I461">
        <v>1</v>
      </c>
      <c r="J461">
        <v>17.835000000000001</v>
      </c>
      <c r="K461">
        <v>21.558150000000001</v>
      </c>
      <c r="L461">
        <v>37.416699999999999</v>
      </c>
      <c r="M461">
        <v>14.708443000000001</v>
      </c>
      <c r="N461">
        <v>1192</v>
      </c>
      <c r="O461">
        <v>5265</v>
      </c>
      <c r="P461">
        <v>6457</v>
      </c>
    </row>
    <row r="462" spans="1:16" x14ac:dyDescent="0.3">
      <c r="A462">
        <v>461</v>
      </c>
      <c r="B462" s="1">
        <v>43620</v>
      </c>
      <c r="C462">
        <v>2</v>
      </c>
      <c r="D462">
        <v>1</v>
      </c>
      <c r="E462">
        <v>4</v>
      </c>
      <c r="F462">
        <v>0</v>
      </c>
      <c r="G462">
        <v>5</v>
      </c>
      <c r="H462">
        <v>1</v>
      </c>
      <c r="I462">
        <v>1</v>
      </c>
      <c r="J462">
        <v>16.536653000000001</v>
      </c>
      <c r="K462">
        <v>19.538350000000001</v>
      </c>
      <c r="L462">
        <v>37.708300000000001</v>
      </c>
      <c r="M462">
        <v>20.125996000000001</v>
      </c>
      <c r="N462">
        <v>1807</v>
      </c>
      <c r="O462">
        <v>4653</v>
      </c>
      <c r="P462">
        <v>6460</v>
      </c>
    </row>
    <row r="463" spans="1:16" x14ac:dyDescent="0.3">
      <c r="A463">
        <v>462</v>
      </c>
      <c r="B463" s="1">
        <v>43650</v>
      </c>
      <c r="C463">
        <v>2</v>
      </c>
      <c r="D463">
        <v>1</v>
      </c>
      <c r="E463">
        <v>4</v>
      </c>
      <c r="F463">
        <v>0</v>
      </c>
      <c r="G463">
        <v>6</v>
      </c>
      <c r="H463">
        <v>0</v>
      </c>
      <c r="I463">
        <v>1</v>
      </c>
      <c r="J463">
        <v>17.9375</v>
      </c>
      <c r="K463">
        <v>21.306450000000002</v>
      </c>
      <c r="L463">
        <v>25.416699999999999</v>
      </c>
      <c r="M463">
        <v>18.416357000000001</v>
      </c>
      <c r="N463">
        <v>3252</v>
      </c>
      <c r="O463">
        <v>3605</v>
      </c>
      <c r="P463">
        <v>6857</v>
      </c>
    </row>
    <row r="464" spans="1:16" x14ac:dyDescent="0.3">
      <c r="A464">
        <v>463</v>
      </c>
      <c r="B464" s="1">
        <v>43681</v>
      </c>
      <c r="C464">
        <v>2</v>
      </c>
      <c r="D464">
        <v>1</v>
      </c>
      <c r="E464">
        <v>4</v>
      </c>
      <c r="F464">
        <v>0</v>
      </c>
      <c r="G464">
        <v>0</v>
      </c>
      <c r="H464">
        <v>0</v>
      </c>
      <c r="I464">
        <v>1</v>
      </c>
      <c r="J464">
        <v>20.5</v>
      </c>
      <c r="K464">
        <v>24.62125</v>
      </c>
      <c r="L464">
        <v>27.583300000000001</v>
      </c>
      <c r="M464">
        <v>15.583932000000001</v>
      </c>
      <c r="N464">
        <v>2230</v>
      </c>
      <c r="O464">
        <v>2939</v>
      </c>
      <c r="P464">
        <v>5169</v>
      </c>
    </row>
    <row r="465" spans="1:16" x14ac:dyDescent="0.3">
      <c r="A465">
        <v>464</v>
      </c>
      <c r="B465" s="1">
        <v>43712</v>
      </c>
      <c r="C465">
        <v>2</v>
      </c>
      <c r="D465">
        <v>1</v>
      </c>
      <c r="E465">
        <v>4</v>
      </c>
      <c r="F465">
        <v>0</v>
      </c>
      <c r="G465">
        <v>1</v>
      </c>
      <c r="H465">
        <v>1</v>
      </c>
      <c r="I465">
        <v>1</v>
      </c>
      <c r="J465">
        <v>20.055847</v>
      </c>
      <c r="K465">
        <v>23.831900000000001</v>
      </c>
      <c r="L465">
        <v>31.75</v>
      </c>
      <c r="M465">
        <v>23.999131999999999</v>
      </c>
      <c r="N465">
        <v>905</v>
      </c>
      <c r="O465">
        <v>4680</v>
      </c>
      <c r="P465">
        <v>5585</v>
      </c>
    </row>
    <row r="466" spans="1:16" x14ac:dyDescent="0.3">
      <c r="A466">
        <v>465</v>
      </c>
      <c r="B466" s="1">
        <v>43742</v>
      </c>
      <c r="C466">
        <v>2</v>
      </c>
      <c r="D466">
        <v>1</v>
      </c>
      <c r="E466">
        <v>4</v>
      </c>
      <c r="F466">
        <v>0</v>
      </c>
      <c r="G466">
        <v>2</v>
      </c>
      <c r="H466">
        <v>1</v>
      </c>
      <c r="I466">
        <v>1</v>
      </c>
      <c r="J466">
        <v>18.313347</v>
      </c>
      <c r="K466">
        <v>21.81165</v>
      </c>
      <c r="L466">
        <v>43.5</v>
      </c>
      <c r="M466">
        <v>16.708124999999999</v>
      </c>
      <c r="N466">
        <v>819</v>
      </c>
      <c r="O466">
        <v>5099</v>
      </c>
      <c r="P466">
        <v>5918</v>
      </c>
    </row>
    <row r="467" spans="1:16" x14ac:dyDescent="0.3">
      <c r="A467">
        <v>466</v>
      </c>
      <c r="B467" s="1">
        <v>43773</v>
      </c>
      <c r="C467">
        <v>2</v>
      </c>
      <c r="D467">
        <v>1</v>
      </c>
      <c r="E467">
        <v>4</v>
      </c>
      <c r="F467">
        <v>0</v>
      </c>
      <c r="G467">
        <v>3</v>
      </c>
      <c r="H467">
        <v>1</v>
      </c>
      <c r="I467">
        <v>1</v>
      </c>
      <c r="J467">
        <v>14.296536</v>
      </c>
      <c r="K467">
        <v>16.863700000000001</v>
      </c>
      <c r="L467">
        <v>46.956499999999998</v>
      </c>
      <c r="M467">
        <v>19.783358</v>
      </c>
      <c r="N467">
        <v>482</v>
      </c>
      <c r="O467">
        <v>4380</v>
      </c>
      <c r="P467">
        <v>4862</v>
      </c>
    </row>
    <row r="468" spans="1:16" x14ac:dyDescent="0.3">
      <c r="A468">
        <v>467</v>
      </c>
      <c r="B468" s="1">
        <v>43803</v>
      </c>
      <c r="C468">
        <v>2</v>
      </c>
      <c r="D468">
        <v>1</v>
      </c>
      <c r="E468">
        <v>4</v>
      </c>
      <c r="F468">
        <v>0</v>
      </c>
      <c r="G468">
        <v>4</v>
      </c>
      <c r="H468">
        <v>1</v>
      </c>
      <c r="I468">
        <v>1</v>
      </c>
      <c r="J468">
        <v>16.297499999999999</v>
      </c>
      <c r="K468">
        <v>19.380199999999999</v>
      </c>
      <c r="L468">
        <v>46.625</v>
      </c>
      <c r="M468">
        <v>19.458742999999998</v>
      </c>
      <c r="N468">
        <v>663</v>
      </c>
      <c r="O468">
        <v>4746</v>
      </c>
      <c r="P468">
        <v>5409</v>
      </c>
    </row>
    <row r="469" spans="1:16" x14ac:dyDescent="0.3">
      <c r="A469">
        <v>468</v>
      </c>
      <c r="B469" t="s">
        <v>291</v>
      </c>
      <c r="C469">
        <v>2</v>
      </c>
      <c r="D469">
        <v>1</v>
      </c>
      <c r="E469">
        <v>4</v>
      </c>
      <c r="F469">
        <v>0</v>
      </c>
      <c r="G469">
        <v>5</v>
      </c>
      <c r="H469">
        <v>1</v>
      </c>
      <c r="I469">
        <v>1</v>
      </c>
      <c r="J469">
        <v>18.142499999999998</v>
      </c>
      <c r="K469">
        <v>21.590399999999999</v>
      </c>
      <c r="L469">
        <v>40.833300000000001</v>
      </c>
      <c r="M469">
        <v>10.416556999999999</v>
      </c>
      <c r="N469">
        <v>1252</v>
      </c>
      <c r="O469">
        <v>5146</v>
      </c>
      <c r="P469">
        <v>6398</v>
      </c>
    </row>
    <row r="470" spans="1:16" x14ac:dyDescent="0.3">
      <c r="A470">
        <v>469</v>
      </c>
      <c r="B470" t="s">
        <v>292</v>
      </c>
      <c r="C470">
        <v>2</v>
      </c>
      <c r="D470">
        <v>1</v>
      </c>
      <c r="E470">
        <v>4</v>
      </c>
      <c r="F470">
        <v>0</v>
      </c>
      <c r="G470">
        <v>6</v>
      </c>
      <c r="H470">
        <v>0</v>
      </c>
      <c r="I470">
        <v>1</v>
      </c>
      <c r="J470">
        <v>20.295000000000002</v>
      </c>
      <c r="K470">
        <v>24.399799999999999</v>
      </c>
      <c r="L470">
        <v>50.291699999999999</v>
      </c>
      <c r="M470">
        <v>12.791439</v>
      </c>
      <c r="N470">
        <v>2795</v>
      </c>
      <c r="O470">
        <v>4665</v>
      </c>
      <c r="P470">
        <v>7460</v>
      </c>
    </row>
    <row r="471" spans="1:16" x14ac:dyDescent="0.3">
      <c r="A471">
        <v>470</v>
      </c>
      <c r="B471" t="s">
        <v>293</v>
      </c>
      <c r="C471">
        <v>2</v>
      </c>
      <c r="D471">
        <v>1</v>
      </c>
      <c r="E471">
        <v>4</v>
      </c>
      <c r="F471">
        <v>0</v>
      </c>
      <c r="G471">
        <v>0</v>
      </c>
      <c r="H471">
        <v>0</v>
      </c>
      <c r="I471">
        <v>1</v>
      </c>
      <c r="J471">
        <v>24.873346999999999</v>
      </c>
      <c r="K471">
        <v>28.693750000000001</v>
      </c>
      <c r="L471">
        <v>50.791699999999999</v>
      </c>
      <c r="M471">
        <v>15.083643</v>
      </c>
      <c r="N471">
        <v>2846</v>
      </c>
      <c r="O471">
        <v>4286</v>
      </c>
      <c r="P471">
        <v>7132</v>
      </c>
    </row>
    <row r="472" spans="1:16" x14ac:dyDescent="0.3">
      <c r="A472">
        <v>471</v>
      </c>
      <c r="B472" t="s">
        <v>294</v>
      </c>
      <c r="C472">
        <v>2</v>
      </c>
      <c r="D472">
        <v>1</v>
      </c>
      <c r="E472">
        <v>4</v>
      </c>
      <c r="F472">
        <v>1</v>
      </c>
      <c r="G472">
        <v>1</v>
      </c>
      <c r="H472">
        <v>0</v>
      </c>
      <c r="I472">
        <v>1</v>
      </c>
      <c r="J472">
        <v>27.230847000000001</v>
      </c>
      <c r="K472">
        <v>30.74625</v>
      </c>
      <c r="L472">
        <v>56.166699999999999</v>
      </c>
      <c r="M472">
        <v>19.083542999999999</v>
      </c>
      <c r="N472">
        <v>1198</v>
      </c>
      <c r="O472">
        <v>5172</v>
      </c>
      <c r="P472">
        <v>6370</v>
      </c>
    </row>
    <row r="473" spans="1:16" x14ac:dyDescent="0.3">
      <c r="A473">
        <v>472</v>
      </c>
      <c r="B473" t="s">
        <v>295</v>
      </c>
      <c r="C473">
        <v>2</v>
      </c>
      <c r="D473">
        <v>1</v>
      </c>
      <c r="E473">
        <v>4</v>
      </c>
      <c r="F473">
        <v>0</v>
      </c>
      <c r="G473">
        <v>2</v>
      </c>
      <c r="H473">
        <v>1</v>
      </c>
      <c r="I473">
        <v>1</v>
      </c>
      <c r="J473">
        <v>24.941652999999999</v>
      </c>
      <c r="K473">
        <v>29.92435</v>
      </c>
      <c r="L473">
        <v>39.041699999999999</v>
      </c>
      <c r="M473">
        <v>18.333143</v>
      </c>
      <c r="N473">
        <v>989</v>
      </c>
      <c r="O473">
        <v>5702</v>
      </c>
      <c r="P473">
        <v>6691</v>
      </c>
    </row>
    <row r="474" spans="1:16" x14ac:dyDescent="0.3">
      <c r="A474">
        <v>473</v>
      </c>
      <c r="B474" t="s">
        <v>296</v>
      </c>
      <c r="C474">
        <v>2</v>
      </c>
      <c r="D474">
        <v>1</v>
      </c>
      <c r="E474">
        <v>4</v>
      </c>
      <c r="F474">
        <v>0</v>
      </c>
      <c r="G474">
        <v>3</v>
      </c>
      <c r="H474">
        <v>1</v>
      </c>
      <c r="I474">
        <v>2</v>
      </c>
      <c r="J474">
        <v>18.996652999999998</v>
      </c>
      <c r="K474">
        <v>22.851900000000001</v>
      </c>
      <c r="L474">
        <v>56.916699999999999</v>
      </c>
      <c r="M474">
        <v>11.250104</v>
      </c>
      <c r="N474">
        <v>347</v>
      </c>
      <c r="O474">
        <v>4020</v>
      </c>
      <c r="P474">
        <v>4367</v>
      </c>
    </row>
    <row r="475" spans="1:16" x14ac:dyDescent="0.3">
      <c r="A475">
        <v>474</v>
      </c>
      <c r="B475" t="s">
        <v>297</v>
      </c>
      <c r="C475">
        <v>2</v>
      </c>
      <c r="D475">
        <v>1</v>
      </c>
      <c r="E475">
        <v>4</v>
      </c>
      <c r="F475">
        <v>0</v>
      </c>
      <c r="G475">
        <v>4</v>
      </c>
      <c r="H475">
        <v>1</v>
      </c>
      <c r="I475">
        <v>1</v>
      </c>
      <c r="J475">
        <v>20.431653000000001</v>
      </c>
      <c r="K475">
        <v>24.6523</v>
      </c>
      <c r="L475">
        <v>61.25</v>
      </c>
      <c r="M475">
        <v>4.4172564000000003</v>
      </c>
      <c r="N475">
        <v>846</v>
      </c>
      <c r="O475">
        <v>5719</v>
      </c>
      <c r="P475">
        <v>6565</v>
      </c>
    </row>
    <row r="476" spans="1:16" x14ac:dyDescent="0.3">
      <c r="A476">
        <v>475</v>
      </c>
      <c r="B476" t="s">
        <v>298</v>
      </c>
      <c r="C476">
        <v>2</v>
      </c>
      <c r="D476">
        <v>1</v>
      </c>
      <c r="E476">
        <v>4</v>
      </c>
      <c r="F476">
        <v>0</v>
      </c>
      <c r="G476">
        <v>5</v>
      </c>
      <c r="H476">
        <v>1</v>
      </c>
      <c r="I476">
        <v>1</v>
      </c>
      <c r="J476">
        <v>21.593347000000001</v>
      </c>
      <c r="K476">
        <v>25.78875</v>
      </c>
      <c r="L476">
        <v>69.458299999999994</v>
      </c>
      <c r="M476">
        <v>10.041357</v>
      </c>
      <c r="N476">
        <v>1340</v>
      </c>
      <c r="O476">
        <v>5950</v>
      </c>
      <c r="P476">
        <v>7290</v>
      </c>
    </row>
    <row r="477" spans="1:16" x14ac:dyDescent="0.3">
      <c r="A477">
        <v>476</v>
      </c>
      <c r="B477" t="s">
        <v>299</v>
      </c>
      <c r="C477">
        <v>2</v>
      </c>
      <c r="D477">
        <v>1</v>
      </c>
      <c r="E477">
        <v>4</v>
      </c>
      <c r="F477">
        <v>0</v>
      </c>
      <c r="G477">
        <v>6</v>
      </c>
      <c r="H477">
        <v>0</v>
      </c>
      <c r="I477">
        <v>1</v>
      </c>
      <c r="J477">
        <v>23.37</v>
      </c>
      <c r="K477">
        <v>27.146049999999999</v>
      </c>
      <c r="L477">
        <v>68.291700000000006</v>
      </c>
      <c r="M477">
        <v>19.000329000000001</v>
      </c>
      <c r="N477">
        <v>2541</v>
      </c>
      <c r="O477">
        <v>4083</v>
      </c>
      <c r="P477">
        <v>6624</v>
      </c>
    </row>
    <row r="478" spans="1:16" x14ac:dyDescent="0.3">
      <c r="A478">
        <v>477</v>
      </c>
      <c r="B478" t="s">
        <v>300</v>
      </c>
      <c r="C478">
        <v>2</v>
      </c>
      <c r="D478">
        <v>1</v>
      </c>
      <c r="E478">
        <v>4</v>
      </c>
      <c r="F478">
        <v>0</v>
      </c>
      <c r="G478">
        <v>0</v>
      </c>
      <c r="H478">
        <v>0</v>
      </c>
      <c r="I478">
        <v>3</v>
      </c>
      <c r="J478">
        <v>16.263347</v>
      </c>
      <c r="K478">
        <v>19.475200000000001</v>
      </c>
      <c r="L478">
        <v>83.541700000000006</v>
      </c>
      <c r="M478">
        <v>23.084582000000001</v>
      </c>
      <c r="N478">
        <v>120</v>
      </c>
      <c r="O478">
        <v>907</v>
      </c>
      <c r="P478">
        <v>1027</v>
      </c>
    </row>
    <row r="479" spans="1:16" x14ac:dyDescent="0.3">
      <c r="A479">
        <v>478</v>
      </c>
      <c r="B479" t="s">
        <v>301</v>
      </c>
      <c r="C479">
        <v>2</v>
      </c>
      <c r="D479">
        <v>1</v>
      </c>
      <c r="E479">
        <v>4</v>
      </c>
      <c r="F479">
        <v>0</v>
      </c>
      <c r="G479">
        <v>1</v>
      </c>
      <c r="H479">
        <v>1</v>
      </c>
      <c r="I479">
        <v>2</v>
      </c>
      <c r="J479">
        <v>13.188347</v>
      </c>
      <c r="K479">
        <v>15.05625</v>
      </c>
      <c r="L479">
        <v>76.666700000000006</v>
      </c>
      <c r="M479">
        <v>20.334232</v>
      </c>
      <c r="N479">
        <v>195</v>
      </c>
      <c r="O479">
        <v>3019</v>
      </c>
      <c r="P479">
        <v>3214</v>
      </c>
    </row>
    <row r="480" spans="1:16" x14ac:dyDescent="0.3">
      <c r="A480">
        <v>479</v>
      </c>
      <c r="B480" t="s">
        <v>302</v>
      </c>
      <c r="C480">
        <v>2</v>
      </c>
      <c r="D480">
        <v>1</v>
      </c>
      <c r="E480">
        <v>4</v>
      </c>
      <c r="F480">
        <v>0</v>
      </c>
      <c r="G480">
        <v>2</v>
      </c>
      <c r="H480">
        <v>1</v>
      </c>
      <c r="I480">
        <v>1</v>
      </c>
      <c r="J480">
        <v>16.946653000000001</v>
      </c>
      <c r="K480">
        <v>20.264150000000001</v>
      </c>
      <c r="L480">
        <v>45.416699999999999</v>
      </c>
      <c r="M480">
        <v>16.708660999999999</v>
      </c>
      <c r="N480">
        <v>518</v>
      </c>
      <c r="O480">
        <v>5115</v>
      </c>
      <c r="P480">
        <v>5633</v>
      </c>
    </row>
    <row r="481" spans="1:16" x14ac:dyDescent="0.3">
      <c r="A481">
        <v>480</v>
      </c>
      <c r="B481" t="s">
        <v>303</v>
      </c>
      <c r="C481">
        <v>2</v>
      </c>
      <c r="D481">
        <v>1</v>
      </c>
      <c r="E481">
        <v>4</v>
      </c>
      <c r="F481">
        <v>0</v>
      </c>
      <c r="G481">
        <v>3</v>
      </c>
      <c r="H481">
        <v>1</v>
      </c>
      <c r="I481">
        <v>1</v>
      </c>
      <c r="J481">
        <v>19.543347000000001</v>
      </c>
      <c r="K481">
        <v>23.51585</v>
      </c>
      <c r="L481">
        <v>42.791699999999999</v>
      </c>
      <c r="M481">
        <v>7.9590639999999997</v>
      </c>
      <c r="N481">
        <v>655</v>
      </c>
      <c r="O481">
        <v>5541</v>
      </c>
      <c r="P481">
        <v>6196</v>
      </c>
    </row>
    <row r="482" spans="1:16" x14ac:dyDescent="0.3">
      <c r="A482">
        <v>481</v>
      </c>
      <c r="B482" t="s">
        <v>304</v>
      </c>
      <c r="C482">
        <v>2</v>
      </c>
      <c r="D482">
        <v>1</v>
      </c>
      <c r="E482">
        <v>4</v>
      </c>
      <c r="F482">
        <v>0</v>
      </c>
      <c r="G482">
        <v>4</v>
      </c>
      <c r="H482">
        <v>1</v>
      </c>
      <c r="I482">
        <v>2</v>
      </c>
      <c r="J482">
        <v>20.431653000000001</v>
      </c>
      <c r="K482">
        <v>24.17915</v>
      </c>
      <c r="L482">
        <v>75.666700000000006</v>
      </c>
      <c r="M482">
        <v>11.833875000000001</v>
      </c>
      <c r="N482">
        <v>475</v>
      </c>
      <c r="O482">
        <v>4551</v>
      </c>
      <c r="P482">
        <v>5026</v>
      </c>
    </row>
    <row r="483" spans="1:16" x14ac:dyDescent="0.3">
      <c r="A483">
        <v>482</v>
      </c>
      <c r="B483" t="s">
        <v>305</v>
      </c>
      <c r="C483">
        <v>2</v>
      </c>
      <c r="D483">
        <v>1</v>
      </c>
      <c r="E483">
        <v>4</v>
      </c>
      <c r="F483">
        <v>0</v>
      </c>
      <c r="G483">
        <v>5</v>
      </c>
      <c r="H483">
        <v>1</v>
      </c>
      <c r="I483">
        <v>1</v>
      </c>
      <c r="J483">
        <v>18.7575</v>
      </c>
      <c r="K483">
        <v>22.63185</v>
      </c>
      <c r="L483">
        <v>40.083300000000001</v>
      </c>
      <c r="M483">
        <v>23.291411</v>
      </c>
      <c r="N483">
        <v>1014</v>
      </c>
      <c r="O483">
        <v>5219</v>
      </c>
      <c r="P483">
        <v>6233</v>
      </c>
    </row>
    <row r="484" spans="1:16" x14ac:dyDescent="0.3">
      <c r="A484">
        <v>483</v>
      </c>
      <c r="B484" t="s">
        <v>306</v>
      </c>
      <c r="C484">
        <v>2</v>
      </c>
      <c r="D484">
        <v>1</v>
      </c>
      <c r="E484">
        <v>4</v>
      </c>
      <c r="F484">
        <v>0</v>
      </c>
      <c r="G484">
        <v>6</v>
      </c>
      <c r="H484">
        <v>0</v>
      </c>
      <c r="I484">
        <v>2</v>
      </c>
      <c r="J484">
        <v>15.443346999999999</v>
      </c>
      <c r="K484">
        <v>18.8752</v>
      </c>
      <c r="L484">
        <v>48.958300000000001</v>
      </c>
      <c r="M484">
        <v>8.7083250000000003</v>
      </c>
      <c r="N484">
        <v>1120</v>
      </c>
      <c r="O484">
        <v>3100</v>
      </c>
      <c r="P484">
        <v>4220</v>
      </c>
    </row>
    <row r="485" spans="1:16" x14ac:dyDescent="0.3">
      <c r="A485">
        <v>484</v>
      </c>
      <c r="B485" t="s">
        <v>307</v>
      </c>
      <c r="C485">
        <v>2</v>
      </c>
      <c r="D485">
        <v>1</v>
      </c>
      <c r="E485">
        <v>4</v>
      </c>
      <c r="F485">
        <v>0</v>
      </c>
      <c r="G485">
        <v>0</v>
      </c>
      <c r="H485">
        <v>0</v>
      </c>
      <c r="I485">
        <v>1</v>
      </c>
      <c r="J485">
        <v>18.791653</v>
      </c>
      <c r="K485">
        <v>22.506049999999998</v>
      </c>
      <c r="L485">
        <v>58.708300000000001</v>
      </c>
      <c r="M485">
        <v>7.8328360000000004</v>
      </c>
      <c r="N485">
        <v>2229</v>
      </c>
      <c r="O485">
        <v>4075</v>
      </c>
      <c r="P485">
        <v>6304</v>
      </c>
    </row>
    <row r="486" spans="1:16" x14ac:dyDescent="0.3">
      <c r="A486">
        <v>485</v>
      </c>
      <c r="B486" t="s">
        <v>308</v>
      </c>
      <c r="C486">
        <v>2</v>
      </c>
      <c r="D486">
        <v>1</v>
      </c>
      <c r="E486">
        <v>4</v>
      </c>
      <c r="F486">
        <v>0</v>
      </c>
      <c r="G486">
        <v>1</v>
      </c>
      <c r="H486">
        <v>1</v>
      </c>
      <c r="I486">
        <v>2</v>
      </c>
      <c r="J486">
        <v>19.030847000000001</v>
      </c>
      <c r="K486">
        <v>22.884799999999998</v>
      </c>
      <c r="L486">
        <v>57</v>
      </c>
      <c r="M486">
        <v>11.499746</v>
      </c>
      <c r="N486">
        <v>665</v>
      </c>
      <c r="O486">
        <v>4907</v>
      </c>
      <c r="P486">
        <v>5572</v>
      </c>
    </row>
    <row r="487" spans="1:16" x14ac:dyDescent="0.3">
      <c r="A487">
        <v>486</v>
      </c>
      <c r="B487" s="1">
        <v>43470</v>
      </c>
      <c r="C487">
        <v>2</v>
      </c>
      <c r="D487">
        <v>1</v>
      </c>
      <c r="E487">
        <v>5</v>
      </c>
      <c r="F487">
        <v>0</v>
      </c>
      <c r="G487">
        <v>2</v>
      </c>
      <c r="H487">
        <v>1</v>
      </c>
      <c r="I487">
        <v>2</v>
      </c>
      <c r="J487">
        <v>25.146653000000001</v>
      </c>
      <c r="K487">
        <v>28.851050000000001</v>
      </c>
      <c r="L487">
        <v>65.958299999999994</v>
      </c>
      <c r="M487">
        <v>10.458432</v>
      </c>
      <c r="N487">
        <v>653</v>
      </c>
      <c r="O487">
        <v>5087</v>
      </c>
      <c r="P487">
        <v>5740</v>
      </c>
    </row>
    <row r="488" spans="1:16" x14ac:dyDescent="0.3">
      <c r="A488">
        <v>487</v>
      </c>
      <c r="B488" s="1">
        <v>43501</v>
      </c>
      <c r="C488">
        <v>2</v>
      </c>
      <c r="D488">
        <v>1</v>
      </c>
      <c r="E488">
        <v>5</v>
      </c>
      <c r="F488">
        <v>0</v>
      </c>
      <c r="G488">
        <v>3</v>
      </c>
      <c r="H488">
        <v>1</v>
      </c>
      <c r="I488">
        <v>1</v>
      </c>
      <c r="J488">
        <v>23.130846999999999</v>
      </c>
      <c r="K488">
        <v>26.8948</v>
      </c>
      <c r="L488">
        <v>79.708299999999994</v>
      </c>
      <c r="M488">
        <v>9.2498860000000001</v>
      </c>
      <c r="N488">
        <v>667</v>
      </c>
      <c r="O488">
        <v>5502</v>
      </c>
      <c r="P488">
        <v>6169</v>
      </c>
    </row>
    <row r="489" spans="1:16" x14ac:dyDescent="0.3">
      <c r="A489">
        <v>488</v>
      </c>
      <c r="B489" s="1">
        <v>43529</v>
      </c>
      <c r="C489">
        <v>2</v>
      </c>
      <c r="D489">
        <v>1</v>
      </c>
      <c r="E489">
        <v>5</v>
      </c>
      <c r="F489">
        <v>0</v>
      </c>
      <c r="G489">
        <v>4</v>
      </c>
      <c r="H489">
        <v>1</v>
      </c>
      <c r="I489">
        <v>2</v>
      </c>
      <c r="J489">
        <v>22.96</v>
      </c>
      <c r="K489">
        <v>26.862100000000002</v>
      </c>
      <c r="L489">
        <v>76.833299999999994</v>
      </c>
      <c r="M489">
        <v>8.9576320000000003</v>
      </c>
      <c r="N489">
        <v>764</v>
      </c>
      <c r="O489">
        <v>5657</v>
      </c>
      <c r="P489">
        <v>6421</v>
      </c>
    </row>
    <row r="490" spans="1:16" x14ac:dyDescent="0.3">
      <c r="A490">
        <v>489</v>
      </c>
      <c r="B490" s="1">
        <v>43560</v>
      </c>
      <c r="C490">
        <v>2</v>
      </c>
      <c r="D490">
        <v>1</v>
      </c>
      <c r="E490">
        <v>5</v>
      </c>
      <c r="F490">
        <v>0</v>
      </c>
      <c r="G490">
        <v>5</v>
      </c>
      <c r="H490">
        <v>1</v>
      </c>
      <c r="I490">
        <v>1</v>
      </c>
      <c r="J490">
        <v>25.727499999999999</v>
      </c>
      <c r="K490">
        <v>29.545850000000002</v>
      </c>
      <c r="L490">
        <v>73.541700000000006</v>
      </c>
      <c r="M490">
        <v>10.916846</v>
      </c>
      <c r="N490">
        <v>1069</v>
      </c>
      <c r="O490">
        <v>5227</v>
      </c>
      <c r="P490">
        <v>6296</v>
      </c>
    </row>
    <row r="491" spans="1:16" x14ac:dyDescent="0.3">
      <c r="A491">
        <v>490</v>
      </c>
      <c r="B491" s="1">
        <v>43590</v>
      </c>
      <c r="C491">
        <v>2</v>
      </c>
      <c r="D491">
        <v>1</v>
      </c>
      <c r="E491">
        <v>5</v>
      </c>
      <c r="F491">
        <v>0</v>
      </c>
      <c r="G491">
        <v>6</v>
      </c>
      <c r="H491">
        <v>0</v>
      </c>
      <c r="I491">
        <v>2</v>
      </c>
      <c r="J491">
        <v>25.488347000000001</v>
      </c>
      <c r="K491">
        <v>29.230399999999999</v>
      </c>
      <c r="L491">
        <v>75.666700000000006</v>
      </c>
      <c r="M491">
        <v>10.250463999999999</v>
      </c>
      <c r="N491">
        <v>2496</v>
      </c>
      <c r="O491">
        <v>4387</v>
      </c>
      <c r="P491">
        <v>6883</v>
      </c>
    </row>
    <row r="492" spans="1:16" x14ac:dyDescent="0.3">
      <c r="A492">
        <v>491</v>
      </c>
      <c r="B492" s="1">
        <v>43621</v>
      </c>
      <c r="C492">
        <v>2</v>
      </c>
      <c r="D492">
        <v>1</v>
      </c>
      <c r="E492">
        <v>5</v>
      </c>
      <c r="F492">
        <v>0</v>
      </c>
      <c r="G492">
        <v>0</v>
      </c>
      <c r="H492">
        <v>0</v>
      </c>
      <c r="I492">
        <v>2</v>
      </c>
      <c r="J492">
        <v>23.0625</v>
      </c>
      <c r="K492">
        <v>27.336849999999998</v>
      </c>
      <c r="L492">
        <v>74</v>
      </c>
      <c r="M492">
        <v>10.041893</v>
      </c>
      <c r="N492">
        <v>2135</v>
      </c>
      <c r="O492">
        <v>4224</v>
      </c>
      <c r="P492">
        <v>6359</v>
      </c>
    </row>
    <row r="493" spans="1:16" x14ac:dyDescent="0.3">
      <c r="A493">
        <v>492</v>
      </c>
      <c r="B493" s="1">
        <v>43651</v>
      </c>
      <c r="C493">
        <v>2</v>
      </c>
      <c r="D493">
        <v>1</v>
      </c>
      <c r="E493">
        <v>5</v>
      </c>
      <c r="F493">
        <v>0</v>
      </c>
      <c r="G493">
        <v>1</v>
      </c>
      <c r="H493">
        <v>1</v>
      </c>
      <c r="I493">
        <v>2</v>
      </c>
      <c r="J493">
        <v>22.037500000000001</v>
      </c>
      <c r="K493">
        <v>26.357099999999999</v>
      </c>
      <c r="L493">
        <v>66.416700000000006</v>
      </c>
      <c r="M493">
        <v>15.458307</v>
      </c>
      <c r="N493">
        <v>1008</v>
      </c>
      <c r="O493">
        <v>5265</v>
      </c>
      <c r="P493">
        <v>6273</v>
      </c>
    </row>
    <row r="494" spans="1:16" x14ac:dyDescent="0.3">
      <c r="A494">
        <v>493</v>
      </c>
      <c r="B494" s="1">
        <v>43682</v>
      </c>
      <c r="C494">
        <v>2</v>
      </c>
      <c r="D494">
        <v>1</v>
      </c>
      <c r="E494">
        <v>5</v>
      </c>
      <c r="F494">
        <v>0</v>
      </c>
      <c r="G494">
        <v>2</v>
      </c>
      <c r="H494">
        <v>1</v>
      </c>
      <c r="I494">
        <v>2</v>
      </c>
      <c r="J494">
        <v>23.848347</v>
      </c>
      <c r="K494">
        <v>27.873550000000002</v>
      </c>
      <c r="L494">
        <v>68.583299999999994</v>
      </c>
      <c r="M494">
        <v>19.833943000000001</v>
      </c>
      <c r="N494">
        <v>738</v>
      </c>
      <c r="O494">
        <v>4990</v>
      </c>
      <c r="P494">
        <v>5728</v>
      </c>
    </row>
    <row r="495" spans="1:16" x14ac:dyDescent="0.3">
      <c r="A495">
        <v>494</v>
      </c>
      <c r="B495" s="1">
        <v>43713</v>
      </c>
      <c r="C495">
        <v>2</v>
      </c>
      <c r="D495">
        <v>1</v>
      </c>
      <c r="E495">
        <v>5</v>
      </c>
      <c r="F495">
        <v>0</v>
      </c>
      <c r="G495">
        <v>3</v>
      </c>
      <c r="H495">
        <v>1</v>
      </c>
      <c r="I495">
        <v>2</v>
      </c>
      <c r="J495">
        <v>23.574999999999999</v>
      </c>
      <c r="K495">
        <v>27.651250000000001</v>
      </c>
      <c r="L495">
        <v>74.416700000000006</v>
      </c>
      <c r="M495">
        <v>14.499604</v>
      </c>
      <c r="N495">
        <v>620</v>
      </c>
      <c r="O495">
        <v>4097</v>
      </c>
      <c r="P495">
        <v>4717</v>
      </c>
    </row>
    <row r="496" spans="1:16" x14ac:dyDescent="0.3">
      <c r="A496">
        <v>495</v>
      </c>
      <c r="B496" s="1">
        <v>43743</v>
      </c>
      <c r="C496">
        <v>2</v>
      </c>
      <c r="D496">
        <v>1</v>
      </c>
      <c r="E496">
        <v>5</v>
      </c>
      <c r="F496">
        <v>0</v>
      </c>
      <c r="G496">
        <v>4</v>
      </c>
      <c r="H496">
        <v>1</v>
      </c>
      <c r="I496">
        <v>1</v>
      </c>
      <c r="J496">
        <v>20.739153000000002</v>
      </c>
      <c r="K496">
        <v>24.58915</v>
      </c>
      <c r="L496">
        <v>55.208300000000001</v>
      </c>
      <c r="M496">
        <v>21.042221000000001</v>
      </c>
      <c r="N496">
        <v>1026</v>
      </c>
      <c r="O496">
        <v>5546</v>
      </c>
      <c r="P496">
        <v>6572</v>
      </c>
    </row>
    <row r="497" spans="1:16" x14ac:dyDescent="0.3">
      <c r="A497">
        <v>496</v>
      </c>
      <c r="B497" s="1">
        <v>43774</v>
      </c>
      <c r="C497">
        <v>2</v>
      </c>
      <c r="D497">
        <v>1</v>
      </c>
      <c r="E497">
        <v>5</v>
      </c>
      <c r="F497">
        <v>0</v>
      </c>
      <c r="G497">
        <v>5</v>
      </c>
      <c r="H497">
        <v>1</v>
      </c>
      <c r="I497">
        <v>1</v>
      </c>
      <c r="J497">
        <v>21.866652999999999</v>
      </c>
      <c r="K497">
        <v>26.041650000000001</v>
      </c>
      <c r="L497">
        <v>36.041699999999999</v>
      </c>
      <c r="M497">
        <v>15.874779</v>
      </c>
      <c r="N497">
        <v>1319</v>
      </c>
      <c r="O497">
        <v>5711</v>
      </c>
      <c r="P497">
        <v>7030</v>
      </c>
    </row>
    <row r="498" spans="1:16" x14ac:dyDescent="0.3">
      <c r="A498">
        <v>497</v>
      </c>
      <c r="B498" s="1">
        <v>43804</v>
      </c>
      <c r="C498">
        <v>2</v>
      </c>
      <c r="D498">
        <v>1</v>
      </c>
      <c r="E498">
        <v>5</v>
      </c>
      <c r="F498">
        <v>0</v>
      </c>
      <c r="G498">
        <v>6</v>
      </c>
      <c r="H498">
        <v>0</v>
      </c>
      <c r="I498">
        <v>1</v>
      </c>
      <c r="J498">
        <v>23.130846999999999</v>
      </c>
      <c r="K498">
        <v>27.240849999999998</v>
      </c>
      <c r="L498">
        <v>48.041699999999999</v>
      </c>
      <c r="M498">
        <v>8.2499110000000009</v>
      </c>
      <c r="N498">
        <v>2622</v>
      </c>
      <c r="O498">
        <v>4807</v>
      </c>
      <c r="P498">
        <v>7429</v>
      </c>
    </row>
    <row r="499" spans="1:16" x14ac:dyDescent="0.3">
      <c r="A499">
        <v>498</v>
      </c>
      <c r="B499" t="s">
        <v>309</v>
      </c>
      <c r="C499">
        <v>2</v>
      </c>
      <c r="D499">
        <v>1</v>
      </c>
      <c r="E499">
        <v>5</v>
      </c>
      <c r="F499">
        <v>0</v>
      </c>
      <c r="G499">
        <v>0</v>
      </c>
      <c r="H499">
        <v>0</v>
      </c>
      <c r="I499">
        <v>1</v>
      </c>
      <c r="J499">
        <v>25.112500000000001</v>
      </c>
      <c r="K499">
        <v>29.261900000000001</v>
      </c>
      <c r="L499">
        <v>57.625</v>
      </c>
      <c r="M499">
        <v>15.082839</v>
      </c>
      <c r="N499">
        <v>2172</v>
      </c>
      <c r="O499">
        <v>3946</v>
      </c>
      <c r="P499">
        <v>6118</v>
      </c>
    </row>
    <row r="500" spans="1:16" x14ac:dyDescent="0.3">
      <c r="A500">
        <v>499</v>
      </c>
      <c r="B500" t="s">
        <v>310</v>
      </c>
      <c r="C500">
        <v>2</v>
      </c>
      <c r="D500">
        <v>1</v>
      </c>
      <c r="E500">
        <v>5</v>
      </c>
      <c r="F500">
        <v>0</v>
      </c>
      <c r="G500">
        <v>1</v>
      </c>
      <c r="H500">
        <v>1</v>
      </c>
      <c r="I500">
        <v>2</v>
      </c>
      <c r="J500">
        <v>23.506653</v>
      </c>
      <c r="K500">
        <v>27.495000000000001</v>
      </c>
      <c r="L500">
        <v>78.958299999999994</v>
      </c>
      <c r="M500">
        <v>14.250363999999999</v>
      </c>
      <c r="N500">
        <v>342</v>
      </c>
      <c r="O500">
        <v>2501</v>
      </c>
      <c r="P500">
        <v>2843</v>
      </c>
    </row>
    <row r="501" spans="1:16" x14ac:dyDescent="0.3">
      <c r="A501">
        <v>500</v>
      </c>
      <c r="B501" t="s">
        <v>311</v>
      </c>
      <c r="C501">
        <v>2</v>
      </c>
      <c r="D501">
        <v>1</v>
      </c>
      <c r="E501">
        <v>5</v>
      </c>
      <c r="F501">
        <v>0</v>
      </c>
      <c r="G501">
        <v>2</v>
      </c>
      <c r="H501">
        <v>1</v>
      </c>
      <c r="I501">
        <v>2</v>
      </c>
      <c r="J501">
        <v>25.078347000000001</v>
      </c>
      <c r="K501">
        <v>28.8202</v>
      </c>
      <c r="L501">
        <v>79.458299999999994</v>
      </c>
      <c r="M501">
        <v>9.8752639999999996</v>
      </c>
      <c r="N501">
        <v>625</v>
      </c>
      <c r="O501">
        <v>4490</v>
      </c>
      <c r="P501">
        <v>5115</v>
      </c>
    </row>
    <row r="502" spans="1:16" x14ac:dyDescent="0.3">
      <c r="A502">
        <v>501</v>
      </c>
      <c r="B502" t="s">
        <v>312</v>
      </c>
      <c r="C502">
        <v>2</v>
      </c>
      <c r="D502">
        <v>1</v>
      </c>
      <c r="E502">
        <v>5</v>
      </c>
      <c r="F502">
        <v>0</v>
      </c>
      <c r="G502">
        <v>3</v>
      </c>
      <c r="H502">
        <v>1</v>
      </c>
      <c r="I502">
        <v>1</v>
      </c>
      <c r="J502">
        <v>26.103346999999999</v>
      </c>
      <c r="K502">
        <v>29.798749999999998</v>
      </c>
      <c r="L502">
        <v>69.791700000000006</v>
      </c>
      <c r="M502">
        <v>8.208304</v>
      </c>
      <c r="N502">
        <v>991</v>
      </c>
      <c r="O502">
        <v>6433</v>
      </c>
      <c r="P502">
        <v>7424</v>
      </c>
    </row>
    <row r="503" spans="1:16" x14ac:dyDescent="0.3">
      <c r="A503">
        <v>502</v>
      </c>
      <c r="B503" t="s">
        <v>313</v>
      </c>
      <c r="C503">
        <v>2</v>
      </c>
      <c r="D503">
        <v>1</v>
      </c>
      <c r="E503">
        <v>5</v>
      </c>
      <c r="F503">
        <v>0</v>
      </c>
      <c r="G503">
        <v>4</v>
      </c>
      <c r="H503">
        <v>1</v>
      </c>
      <c r="I503">
        <v>1</v>
      </c>
      <c r="J503">
        <v>24.326653</v>
      </c>
      <c r="K503">
        <v>28.630649999999999</v>
      </c>
      <c r="L503">
        <v>52</v>
      </c>
      <c r="M503">
        <v>15.374825</v>
      </c>
      <c r="N503">
        <v>1242</v>
      </c>
      <c r="O503">
        <v>6142</v>
      </c>
      <c r="P503">
        <v>7384</v>
      </c>
    </row>
    <row r="504" spans="1:16" x14ac:dyDescent="0.3">
      <c r="A504">
        <v>503</v>
      </c>
      <c r="B504" t="s">
        <v>314</v>
      </c>
      <c r="C504">
        <v>2</v>
      </c>
      <c r="D504">
        <v>1</v>
      </c>
      <c r="E504">
        <v>5</v>
      </c>
      <c r="F504">
        <v>0</v>
      </c>
      <c r="G504">
        <v>5</v>
      </c>
      <c r="H504">
        <v>1</v>
      </c>
      <c r="I504">
        <v>1</v>
      </c>
      <c r="J504">
        <v>23.130846999999999</v>
      </c>
      <c r="K504">
        <v>27.556049999999999</v>
      </c>
      <c r="L504">
        <v>52.333300000000001</v>
      </c>
      <c r="M504">
        <v>9.1667389999999997</v>
      </c>
      <c r="N504">
        <v>1521</v>
      </c>
      <c r="O504">
        <v>6118</v>
      </c>
      <c r="P504">
        <v>7639</v>
      </c>
    </row>
    <row r="505" spans="1:16" x14ac:dyDescent="0.3">
      <c r="A505">
        <v>504</v>
      </c>
      <c r="B505" t="s">
        <v>315</v>
      </c>
      <c r="C505">
        <v>2</v>
      </c>
      <c r="D505">
        <v>1</v>
      </c>
      <c r="E505">
        <v>5</v>
      </c>
      <c r="F505">
        <v>0</v>
      </c>
      <c r="G505">
        <v>6</v>
      </c>
      <c r="H505">
        <v>0</v>
      </c>
      <c r="I505">
        <v>1</v>
      </c>
      <c r="J505">
        <v>24.6</v>
      </c>
      <c r="K505">
        <v>28.345400000000001</v>
      </c>
      <c r="L505">
        <v>45.625</v>
      </c>
      <c r="M505">
        <v>5.6263249999999996</v>
      </c>
      <c r="N505">
        <v>3410</v>
      </c>
      <c r="O505">
        <v>4884</v>
      </c>
      <c r="P505">
        <v>8294</v>
      </c>
    </row>
    <row r="506" spans="1:16" x14ac:dyDescent="0.3">
      <c r="A506">
        <v>505</v>
      </c>
      <c r="B506" t="s">
        <v>316</v>
      </c>
      <c r="C506">
        <v>2</v>
      </c>
      <c r="D506">
        <v>1</v>
      </c>
      <c r="E506">
        <v>5</v>
      </c>
      <c r="F506">
        <v>0</v>
      </c>
      <c r="G506">
        <v>0</v>
      </c>
      <c r="H506">
        <v>0</v>
      </c>
      <c r="I506">
        <v>1</v>
      </c>
      <c r="J506">
        <v>25.454153000000002</v>
      </c>
      <c r="K506">
        <v>29.198350000000001</v>
      </c>
      <c r="L506">
        <v>53.041699999999999</v>
      </c>
      <c r="M506">
        <v>17.042589</v>
      </c>
      <c r="N506">
        <v>2704</v>
      </c>
      <c r="O506">
        <v>4425</v>
      </c>
      <c r="P506">
        <v>7129</v>
      </c>
    </row>
    <row r="507" spans="1:16" x14ac:dyDescent="0.3">
      <c r="A507">
        <v>506</v>
      </c>
      <c r="B507" t="s">
        <v>317</v>
      </c>
      <c r="C507">
        <v>2</v>
      </c>
      <c r="D507">
        <v>1</v>
      </c>
      <c r="E507">
        <v>5</v>
      </c>
      <c r="F507">
        <v>0</v>
      </c>
      <c r="G507">
        <v>1</v>
      </c>
      <c r="H507">
        <v>1</v>
      </c>
      <c r="I507">
        <v>2</v>
      </c>
      <c r="J507">
        <v>24.531652999999999</v>
      </c>
      <c r="K507">
        <v>28.283349999999999</v>
      </c>
      <c r="L507">
        <v>81.125</v>
      </c>
      <c r="M507">
        <v>15.624668</v>
      </c>
      <c r="N507">
        <v>630</v>
      </c>
      <c r="O507">
        <v>3729</v>
      </c>
      <c r="P507">
        <v>4359</v>
      </c>
    </row>
    <row r="508" spans="1:16" x14ac:dyDescent="0.3">
      <c r="A508">
        <v>507</v>
      </c>
      <c r="B508" t="s">
        <v>318</v>
      </c>
      <c r="C508">
        <v>2</v>
      </c>
      <c r="D508">
        <v>1</v>
      </c>
      <c r="E508">
        <v>5</v>
      </c>
      <c r="F508">
        <v>0</v>
      </c>
      <c r="G508">
        <v>2</v>
      </c>
      <c r="H508">
        <v>1</v>
      </c>
      <c r="I508">
        <v>2</v>
      </c>
      <c r="J508">
        <v>25.215</v>
      </c>
      <c r="K508">
        <v>29.041250000000002</v>
      </c>
      <c r="L508">
        <v>76.583299999999994</v>
      </c>
      <c r="M508">
        <v>7.9171889999999996</v>
      </c>
      <c r="N508">
        <v>819</v>
      </c>
      <c r="O508">
        <v>5254</v>
      </c>
      <c r="P508">
        <v>6073</v>
      </c>
    </row>
    <row r="509" spans="1:16" x14ac:dyDescent="0.3">
      <c r="A509">
        <v>508</v>
      </c>
      <c r="B509" t="s">
        <v>319</v>
      </c>
      <c r="C509">
        <v>2</v>
      </c>
      <c r="D509">
        <v>1</v>
      </c>
      <c r="E509">
        <v>5</v>
      </c>
      <c r="F509">
        <v>0</v>
      </c>
      <c r="G509">
        <v>3</v>
      </c>
      <c r="H509">
        <v>1</v>
      </c>
      <c r="I509">
        <v>2</v>
      </c>
      <c r="J509">
        <v>25.488347000000001</v>
      </c>
      <c r="K509">
        <v>29.230599999999999</v>
      </c>
      <c r="L509">
        <v>77.458299999999994</v>
      </c>
      <c r="M509">
        <v>6.8339999999999996</v>
      </c>
      <c r="N509">
        <v>766</v>
      </c>
      <c r="O509">
        <v>4494</v>
      </c>
      <c r="P509">
        <v>5260</v>
      </c>
    </row>
    <row r="510" spans="1:16" x14ac:dyDescent="0.3">
      <c r="A510">
        <v>509</v>
      </c>
      <c r="B510" t="s">
        <v>320</v>
      </c>
      <c r="C510">
        <v>2</v>
      </c>
      <c r="D510">
        <v>1</v>
      </c>
      <c r="E510">
        <v>5</v>
      </c>
      <c r="F510">
        <v>0</v>
      </c>
      <c r="G510">
        <v>4</v>
      </c>
      <c r="H510">
        <v>1</v>
      </c>
      <c r="I510">
        <v>1</v>
      </c>
      <c r="J510">
        <v>26.855</v>
      </c>
      <c r="K510">
        <v>30.335000000000001</v>
      </c>
      <c r="L510">
        <v>71.666700000000006</v>
      </c>
      <c r="M510">
        <v>11.584032000000001</v>
      </c>
      <c r="N510">
        <v>1059</v>
      </c>
      <c r="O510">
        <v>5711</v>
      </c>
      <c r="P510">
        <v>6770</v>
      </c>
    </row>
    <row r="511" spans="1:16" x14ac:dyDescent="0.3">
      <c r="A511">
        <v>510</v>
      </c>
      <c r="B511" t="s">
        <v>321</v>
      </c>
      <c r="C511">
        <v>2</v>
      </c>
      <c r="D511">
        <v>1</v>
      </c>
      <c r="E511">
        <v>5</v>
      </c>
      <c r="F511">
        <v>0</v>
      </c>
      <c r="G511">
        <v>5</v>
      </c>
      <c r="H511">
        <v>1</v>
      </c>
      <c r="I511">
        <v>1</v>
      </c>
      <c r="J511">
        <v>27.88</v>
      </c>
      <c r="K511">
        <v>31.376449999999998</v>
      </c>
      <c r="L511">
        <v>74.708299999999994</v>
      </c>
      <c r="M511">
        <v>9.4168500000000002</v>
      </c>
      <c r="N511">
        <v>1417</v>
      </c>
      <c r="O511">
        <v>5317</v>
      </c>
      <c r="P511">
        <v>6734</v>
      </c>
    </row>
    <row r="512" spans="1:16" x14ac:dyDescent="0.3">
      <c r="A512">
        <v>511</v>
      </c>
      <c r="B512" t="s">
        <v>322</v>
      </c>
      <c r="C512">
        <v>2</v>
      </c>
      <c r="D512">
        <v>1</v>
      </c>
      <c r="E512">
        <v>5</v>
      </c>
      <c r="F512">
        <v>0</v>
      </c>
      <c r="G512">
        <v>6</v>
      </c>
      <c r="H512">
        <v>0</v>
      </c>
      <c r="I512">
        <v>1</v>
      </c>
      <c r="J512">
        <v>28.392499999999998</v>
      </c>
      <c r="K512">
        <v>32.134799999999998</v>
      </c>
      <c r="L512">
        <v>73.25</v>
      </c>
      <c r="M512">
        <v>13.332464</v>
      </c>
      <c r="N512">
        <v>2855</v>
      </c>
      <c r="O512">
        <v>3681</v>
      </c>
      <c r="P512">
        <v>6536</v>
      </c>
    </row>
    <row r="513" spans="1:16" x14ac:dyDescent="0.3">
      <c r="A513">
        <v>512</v>
      </c>
      <c r="B513" t="s">
        <v>323</v>
      </c>
      <c r="C513">
        <v>2</v>
      </c>
      <c r="D513">
        <v>1</v>
      </c>
      <c r="E513">
        <v>5</v>
      </c>
      <c r="F513">
        <v>0</v>
      </c>
      <c r="G513">
        <v>0</v>
      </c>
      <c r="H513">
        <v>0</v>
      </c>
      <c r="I513">
        <v>1</v>
      </c>
      <c r="J513">
        <v>28.29</v>
      </c>
      <c r="K513">
        <v>32.071249999999999</v>
      </c>
      <c r="L513">
        <v>69.708299999999994</v>
      </c>
      <c r="M513">
        <v>14.416456999999999</v>
      </c>
      <c r="N513">
        <v>3283</v>
      </c>
      <c r="O513">
        <v>3308</v>
      </c>
      <c r="P513">
        <v>6591</v>
      </c>
    </row>
    <row r="514" spans="1:16" x14ac:dyDescent="0.3">
      <c r="A514">
        <v>513</v>
      </c>
      <c r="B514" t="s">
        <v>324</v>
      </c>
      <c r="C514">
        <v>2</v>
      </c>
      <c r="D514">
        <v>1</v>
      </c>
      <c r="E514">
        <v>5</v>
      </c>
      <c r="F514">
        <v>1</v>
      </c>
      <c r="G514">
        <v>1</v>
      </c>
      <c r="H514">
        <v>0</v>
      </c>
      <c r="I514">
        <v>1</v>
      </c>
      <c r="J514">
        <v>29.212499999999999</v>
      </c>
      <c r="K514">
        <v>33.965000000000003</v>
      </c>
      <c r="L514">
        <v>67.625</v>
      </c>
      <c r="M514">
        <v>13.166907</v>
      </c>
      <c r="N514">
        <v>2557</v>
      </c>
      <c r="O514">
        <v>3486</v>
      </c>
      <c r="P514">
        <v>6043</v>
      </c>
    </row>
    <row r="515" spans="1:16" x14ac:dyDescent="0.3">
      <c r="A515">
        <v>514</v>
      </c>
      <c r="B515" t="s">
        <v>325</v>
      </c>
      <c r="C515">
        <v>2</v>
      </c>
      <c r="D515">
        <v>1</v>
      </c>
      <c r="E515">
        <v>5</v>
      </c>
      <c r="F515">
        <v>0</v>
      </c>
      <c r="G515">
        <v>2</v>
      </c>
      <c r="H515">
        <v>1</v>
      </c>
      <c r="I515">
        <v>1</v>
      </c>
      <c r="J515">
        <v>29.622499999999999</v>
      </c>
      <c r="K515">
        <v>33.6496</v>
      </c>
      <c r="L515">
        <v>68.458299999999994</v>
      </c>
      <c r="M515">
        <v>19.791799999999999</v>
      </c>
      <c r="N515">
        <v>880</v>
      </c>
      <c r="O515">
        <v>4863</v>
      </c>
      <c r="P515">
        <v>5743</v>
      </c>
    </row>
    <row r="516" spans="1:16" x14ac:dyDescent="0.3">
      <c r="A516">
        <v>515</v>
      </c>
      <c r="B516" t="s">
        <v>326</v>
      </c>
      <c r="C516">
        <v>2</v>
      </c>
      <c r="D516">
        <v>1</v>
      </c>
      <c r="E516">
        <v>5</v>
      </c>
      <c r="F516">
        <v>0</v>
      </c>
      <c r="G516">
        <v>3</v>
      </c>
      <c r="H516">
        <v>1</v>
      </c>
      <c r="I516">
        <v>2</v>
      </c>
      <c r="J516">
        <v>26.923347</v>
      </c>
      <c r="K516">
        <v>30.556450000000002</v>
      </c>
      <c r="L516">
        <v>67</v>
      </c>
      <c r="M516">
        <v>9.0000429999999998</v>
      </c>
      <c r="N516">
        <v>745</v>
      </c>
      <c r="O516">
        <v>6110</v>
      </c>
      <c r="P516">
        <v>6855</v>
      </c>
    </row>
    <row r="517" spans="1:16" x14ac:dyDescent="0.3">
      <c r="A517">
        <v>516</v>
      </c>
      <c r="B517" t="s">
        <v>327</v>
      </c>
      <c r="C517">
        <v>2</v>
      </c>
      <c r="D517">
        <v>1</v>
      </c>
      <c r="E517">
        <v>5</v>
      </c>
      <c r="F517">
        <v>0</v>
      </c>
      <c r="G517">
        <v>4</v>
      </c>
      <c r="H517">
        <v>1</v>
      </c>
      <c r="I517">
        <v>1</v>
      </c>
      <c r="J517">
        <v>27.88</v>
      </c>
      <c r="K517">
        <v>31.56645</v>
      </c>
      <c r="L517">
        <v>49.291699999999999</v>
      </c>
      <c r="M517">
        <v>13.083693</v>
      </c>
      <c r="N517">
        <v>1100</v>
      </c>
      <c r="O517">
        <v>6238</v>
      </c>
      <c r="P517">
        <v>7338</v>
      </c>
    </row>
    <row r="518" spans="1:16" x14ac:dyDescent="0.3">
      <c r="A518">
        <v>517</v>
      </c>
      <c r="B518" s="1">
        <v>43471</v>
      </c>
      <c r="C518">
        <v>2</v>
      </c>
      <c r="D518">
        <v>1</v>
      </c>
      <c r="E518">
        <v>6</v>
      </c>
      <c r="F518">
        <v>0</v>
      </c>
      <c r="G518">
        <v>5</v>
      </c>
      <c r="H518">
        <v>1</v>
      </c>
      <c r="I518">
        <v>2</v>
      </c>
      <c r="J518">
        <v>26.820847000000001</v>
      </c>
      <c r="K518">
        <v>30.398099999999999</v>
      </c>
      <c r="L518">
        <v>75.541700000000006</v>
      </c>
      <c r="M518">
        <v>15.916721000000001</v>
      </c>
      <c r="N518">
        <v>533</v>
      </c>
      <c r="O518">
        <v>3594</v>
      </c>
      <c r="P518">
        <v>4127</v>
      </c>
    </row>
    <row r="519" spans="1:16" x14ac:dyDescent="0.3">
      <c r="A519">
        <v>518</v>
      </c>
      <c r="B519" s="1">
        <v>43502</v>
      </c>
      <c r="C519">
        <v>2</v>
      </c>
      <c r="D519">
        <v>1</v>
      </c>
      <c r="E519">
        <v>6</v>
      </c>
      <c r="F519">
        <v>0</v>
      </c>
      <c r="G519">
        <v>6</v>
      </c>
      <c r="H519">
        <v>0</v>
      </c>
      <c r="I519">
        <v>1</v>
      </c>
      <c r="J519">
        <v>23.916653</v>
      </c>
      <c r="K519">
        <v>28.314399999999999</v>
      </c>
      <c r="L519">
        <v>54.916699999999999</v>
      </c>
      <c r="M519">
        <v>12.499654</v>
      </c>
      <c r="N519">
        <v>2795</v>
      </c>
      <c r="O519">
        <v>5325</v>
      </c>
      <c r="P519">
        <v>8120</v>
      </c>
    </row>
    <row r="520" spans="1:16" x14ac:dyDescent="0.3">
      <c r="A520">
        <v>519</v>
      </c>
      <c r="B520" s="1">
        <v>43530</v>
      </c>
      <c r="C520">
        <v>2</v>
      </c>
      <c r="D520">
        <v>1</v>
      </c>
      <c r="E520">
        <v>6</v>
      </c>
      <c r="F520">
        <v>0</v>
      </c>
      <c r="G520">
        <v>0</v>
      </c>
      <c r="H520">
        <v>0</v>
      </c>
      <c r="I520">
        <v>1</v>
      </c>
      <c r="J520">
        <v>24.702500000000001</v>
      </c>
      <c r="K520">
        <v>28.75665</v>
      </c>
      <c r="L520">
        <v>49.333300000000001</v>
      </c>
      <c r="M520">
        <v>12.333829</v>
      </c>
      <c r="N520">
        <v>2494</v>
      </c>
      <c r="O520">
        <v>5147</v>
      </c>
      <c r="P520">
        <v>7641</v>
      </c>
    </row>
    <row r="521" spans="1:16" x14ac:dyDescent="0.3">
      <c r="A521">
        <v>520</v>
      </c>
      <c r="B521" s="1">
        <v>43561</v>
      </c>
      <c r="C521">
        <v>2</v>
      </c>
      <c r="D521">
        <v>1</v>
      </c>
      <c r="E521">
        <v>6</v>
      </c>
      <c r="F521">
        <v>0</v>
      </c>
      <c r="G521">
        <v>1</v>
      </c>
      <c r="H521">
        <v>1</v>
      </c>
      <c r="I521">
        <v>1</v>
      </c>
      <c r="J521">
        <v>24.497499999999999</v>
      </c>
      <c r="K521">
        <v>28.914149999999999</v>
      </c>
      <c r="L521">
        <v>48.708300000000001</v>
      </c>
      <c r="M521">
        <v>19.083811000000001</v>
      </c>
      <c r="N521">
        <v>1071</v>
      </c>
      <c r="O521">
        <v>5927</v>
      </c>
      <c r="P521">
        <v>6998</v>
      </c>
    </row>
    <row r="522" spans="1:16" x14ac:dyDescent="0.3">
      <c r="A522">
        <v>521</v>
      </c>
      <c r="B522" s="1">
        <v>43591</v>
      </c>
      <c r="C522">
        <v>2</v>
      </c>
      <c r="D522">
        <v>1</v>
      </c>
      <c r="E522">
        <v>6</v>
      </c>
      <c r="F522">
        <v>0</v>
      </c>
      <c r="G522">
        <v>2</v>
      </c>
      <c r="H522">
        <v>1</v>
      </c>
      <c r="I522">
        <v>2</v>
      </c>
      <c r="J522">
        <v>22.174153</v>
      </c>
      <c r="K522">
        <v>26.294599999999999</v>
      </c>
      <c r="L522">
        <v>61.333300000000001</v>
      </c>
      <c r="M522">
        <v>14.041525</v>
      </c>
      <c r="N522">
        <v>968</v>
      </c>
      <c r="O522">
        <v>6033</v>
      </c>
      <c r="P522">
        <v>7001</v>
      </c>
    </row>
    <row r="523" spans="1:16" x14ac:dyDescent="0.3">
      <c r="A523">
        <v>522</v>
      </c>
      <c r="B523" s="1">
        <v>43622</v>
      </c>
      <c r="C523">
        <v>2</v>
      </c>
      <c r="D523">
        <v>1</v>
      </c>
      <c r="E523">
        <v>6</v>
      </c>
      <c r="F523">
        <v>0</v>
      </c>
      <c r="G523">
        <v>3</v>
      </c>
      <c r="H523">
        <v>1</v>
      </c>
      <c r="I523">
        <v>1</v>
      </c>
      <c r="J523">
        <v>22.720846999999999</v>
      </c>
      <c r="K523">
        <v>27.114599999999999</v>
      </c>
      <c r="L523">
        <v>61.125</v>
      </c>
      <c r="M523">
        <v>5.1673749999999998</v>
      </c>
      <c r="N523">
        <v>1027</v>
      </c>
      <c r="O523">
        <v>6028</v>
      </c>
      <c r="P523">
        <v>7055</v>
      </c>
    </row>
    <row r="524" spans="1:16" x14ac:dyDescent="0.3">
      <c r="A524">
        <v>523</v>
      </c>
      <c r="B524" s="1">
        <v>43652</v>
      </c>
      <c r="C524">
        <v>2</v>
      </c>
      <c r="D524">
        <v>1</v>
      </c>
      <c r="E524">
        <v>6</v>
      </c>
      <c r="F524">
        <v>0</v>
      </c>
      <c r="G524">
        <v>4</v>
      </c>
      <c r="H524">
        <v>1</v>
      </c>
      <c r="I524">
        <v>1</v>
      </c>
      <c r="J524">
        <v>24.702500000000001</v>
      </c>
      <c r="K524">
        <v>28.472100000000001</v>
      </c>
      <c r="L524">
        <v>56.708300000000001</v>
      </c>
      <c r="M524">
        <v>10.542450000000001</v>
      </c>
      <c r="N524">
        <v>1038</v>
      </c>
      <c r="O524">
        <v>6456</v>
      </c>
      <c r="P524">
        <v>7494</v>
      </c>
    </row>
    <row r="525" spans="1:16" x14ac:dyDescent="0.3">
      <c r="A525">
        <v>524</v>
      </c>
      <c r="B525" s="1">
        <v>43683</v>
      </c>
      <c r="C525">
        <v>2</v>
      </c>
      <c r="D525">
        <v>1</v>
      </c>
      <c r="E525">
        <v>6</v>
      </c>
      <c r="F525">
        <v>0</v>
      </c>
      <c r="G525">
        <v>5</v>
      </c>
      <c r="H525">
        <v>1</v>
      </c>
      <c r="I525">
        <v>1</v>
      </c>
      <c r="J525">
        <v>26.615846999999999</v>
      </c>
      <c r="K525">
        <v>29.8931</v>
      </c>
      <c r="L525">
        <v>46.791699999999999</v>
      </c>
      <c r="M525">
        <v>11.750660999999999</v>
      </c>
      <c r="N525">
        <v>1488</v>
      </c>
      <c r="O525">
        <v>6248</v>
      </c>
      <c r="P525">
        <v>7736</v>
      </c>
    </row>
    <row r="526" spans="1:16" x14ac:dyDescent="0.3">
      <c r="A526">
        <v>525</v>
      </c>
      <c r="B526" s="1">
        <v>43714</v>
      </c>
      <c r="C526">
        <v>2</v>
      </c>
      <c r="D526">
        <v>1</v>
      </c>
      <c r="E526">
        <v>6</v>
      </c>
      <c r="F526">
        <v>0</v>
      </c>
      <c r="G526">
        <v>6</v>
      </c>
      <c r="H526">
        <v>0</v>
      </c>
      <c r="I526">
        <v>1</v>
      </c>
      <c r="J526">
        <v>29.144152999999999</v>
      </c>
      <c r="K526">
        <v>32.418349999999997</v>
      </c>
      <c r="L526">
        <v>43.708300000000001</v>
      </c>
      <c r="M526">
        <v>9.6672290000000007</v>
      </c>
      <c r="N526">
        <v>2708</v>
      </c>
      <c r="O526">
        <v>4790</v>
      </c>
      <c r="P526">
        <v>7498</v>
      </c>
    </row>
    <row r="527" spans="1:16" x14ac:dyDescent="0.3">
      <c r="A527">
        <v>526</v>
      </c>
      <c r="B527" s="1">
        <v>43744</v>
      </c>
      <c r="C527">
        <v>2</v>
      </c>
      <c r="D527">
        <v>1</v>
      </c>
      <c r="E527">
        <v>6</v>
      </c>
      <c r="F527">
        <v>0</v>
      </c>
      <c r="G527">
        <v>0</v>
      </c>
      <c r="H527">
        <v>0</v>
      </c>
      <c r="I527">
        <v>1</v>
      </c>
      <c r="J527">
        <v>29.793347000000001</v>
      </c>
      <c r="K527">
        <v>33.175849999999997</v>
      </c>
      <c r="L527">
        <v>53.833300000000001</v>
      </c>
      <c r="M527">
        <v>8.9593070000000008</v>
      </c>
      <c r="N527">
        <v>2224</v>
      </c>
      <c r="O527">
        <v>4374</v>
      </c>
      <c r="P527">
        <v>6598</v>
      </c>
    </row>
    <row r="528" spans="1:16" x14ac:dyDescent="0.3">
      <c r="A528">
        <v>527</v>
      </c>
      <c r="B528" s="1">
        <v>43775</v>
      </c>
      <c r="C528">
        <v>2</v>
      </c>
      <c r="D528">
        <v>1</v>
      </c>
      <c r="E528">
        <v>6</v>
      </c>
      <c r="F528">
        <v>0</v>
      </c>
      <c r="G528">
        <v>1</v>
      </c>
      <c r="H528">
        <v>1</v>
      </c>
      <c r="I528">
        <v>2</v>
      </c>
      <c r="J528">
        <v>29.554152999999999</v>
      </c>
      <c r="K528">
        <v>32.986049999999999</v>
      </c>
      <c r="L528">
        <v>58.791699999999999</v>
      </c>
      <c r="M528">
        <v>13.916771000000001</v>
      </c>
      <c r="N528">
        <v>1017</v>
      </c>
      <c r="O528">
        <v>5647</v>
      </c>
      <c r="P528">
        <v>6664</v>
      </c>
    </row>
    <row r="529" spans="1:16" x14ac:dyDescent="0.3">
      <c r="A529">
        <v>528</v>
      </c>
      <c r="B529" s="1">
        <v>43805</v>
      </c>
      <c r="C529">
        <v>2</v>
      </c>
      <c r="D529">
        <v>1</v>
      </c>
      <c r="E529">
        <v>6</v>
      </c>
      <c r="F529">
        <v>0</v>
      </c>
      <c r="G529">
        <v>2</v>
      </c>
      <c r="H529">
        <v>1</v>
      </c>
      <c r="I529">
        <v>2</v>
      </c>
      <c r="J529">
        <v>26.786653000000001</v>
      </c>
      <c r="K529">
        <v>29.893750000000001</v>
      </c>
      <c r="L529">
        <v>83.333299999999994</v>
      </c>
      <c r="M529">
        <v>14.374582</v>
      </c>
      <c r="N529">
        <v>477</v>
      </c>
      <c r="O529">
        <v>4495</v>
      </c>
      <c r="P529">
        <v>4972</v>
      </c>
    </row>
    <row r="530" spans="1:16" x14ac:dyDescent="0.3">
      <c r="A530">
        <v>529</v>
      </c>
      <c r="B530" t="s">
        <v>328</v>
      </c>
      <c r="C530">
        <v>2</v>
      </c>
      <c r="D530">
        <v>1</v>
      </c>
      <c r="E530">
        <v>6</v>
      </c>
      <c r="F530">
        <v>0</v>
      </c>
      <c r="G530">
        <v>3</v>
      </c>
      <c r="H530">
        <v>1</v>
      </c>
      <c r="I530">
        <v>1</v>
      </c>
      <c r="J530">
        <v>26.889153</v>
      </c>
      <c r="K530">
        <v>30.55585</v>
      </c>
      <c r="L530">
        <v>58.208300000000001</v>
      </c>
      <c r="M530">
        <v>22.999693000000001</v>
      </c>
      <c r="N530">
        <v>1173</v>
      </c>
      <c r="O530">
        <v>6248</v>
      </c>
      <c r="P530">
        <v>7421</v>
      </c>
    </row>
    <row r="531" spans="1:16" x14ac:dyDescent="0.3">
      <c r="A531">
        <v>530</v>
      </c>
      <c r="B531" t="s">
        <v>329</v>
      </c>
      <c r="C531">
        <v>2</v>
      </c>
      <c r="D531">
        <v>1</v>
      </c>
      <c r="E531">
        <v>6</v>
      </c>
      <c r="F531">
        <v>0</v>
      </c>
      <c r="G531">
        <v>4</v>
      </c>
      <c r="H531">
        <v>1</v>
      </c>
      <c r="I531">
        <v>1</v>
      </c>
      <c r="J531">
        <v>26.581652999999999</v>
      </c>
      <c r="K531">
        <v>31.219149999999999</v>
      </c>
      <c r="L531">
        <v>56.958300000000001</v>
      </c>
      <c r="M531">
        <v>17.000111</v>
      </c>
      <c r="N531">
        <v>1180</v>
      </c>
      <c r="O531">
        <v>6183</v>
      </c>
      <c r="P531">
        <v>7363</v>
      </c>
    </row>
    <row r="532" spans="1:16" x14ac:dyDescent="0.3">
      <c r="A532">
        <v>531</v>
      </c>
      <c r="B532" t="s">
        <v>330</v>
      </c>
      <c r="C532">
        <v>2</v>
      </c>
      <c r="D532">
        <v>1</v>
      </c>
      <c r="E532">
        <v>6</v>
      </c>
      <c r="F532">
        <v>0</v>
      </c>
      <c r="G532">
        <v>5</v>
      </c>
      <c r="H532">
        <v>1</v>
      </c>
      <c r="I532">
        <v>1</v>
      </c>
      <c r="J532">
        <v>26.205846999999999</v>
      </c>
      <c r="K532">
        <v>29.9877</v>
      </c>
      <c r="L532">
        <v>58.958300000000001</v>
      </c>
      <c r="M532">
        <v>11.833339</v>
      </c>
      <c r="N532">
        <v>1563</v>
      </c>
      <c r="O532">
        <v>6102</v>
      </c>
      <c r="P532">
        <v>7665</v>
      </c>
    </row>
    <row r="533" spans="1:16" x14ac:dyDescent="0.3">
      <c r="A533">
        <v>532</v>
      </c>
      <c r="B533" t="s">
        <v>331</v>
      </c>
      <c r="C533">
        <v>2</v>
      </c>
      <c r="D533">
        <v>1</v>
      </c>
      <c r="E533">
        <v>6</v>
      </c>
      <c r="F533">
        <v>0</v>
      </c>
      <c r="G533">
        <v>6</v>
      </c>
      <c r="H533">
        <v>0</v>
      </c>
      <c r="I533">
        <v>1</v>
      </c>
      <c r="J533">
        <v>25.898347000000001</v>
      </c>
      <c r="K533">
        <v>29.735399999999998</v>
      </c>
      <c r="L533">
        <v>50.416699999999999</v>
      </c>
      <c r="M533">
        <v>11.166689</v>
      </c>
      <c r="N533">
        <v>2963</v>
      </c>
      <c r="O533">
        <v>4739</v>
      </c>
      <c r="P533">
        <v>7702</v>
      </c>
    </row>
    <row r="534" spans="1:16" x14ac:dyDescent="0.3">
      <c r="A534">
        <v>533</v>
      </c>
      <c r="B534" t="s">
        <v>332</v>
      </c>
      <c r="C534">
        <v>2</v>
      </c>
      <c r="D534">
        <v>1</v>
      </c>
      <c r="E534">
        <v>6</v>
      </c>
      <c r="F534">
        <v>0</v>
      </c>
      <c r="G534">
        <v>0</v>
      </c>
      <c r="H534">
        <v>0</v>
      </c>
      <c r="I534">
        <v>1</v>
      </c>
      <c r="J534">
        <v>24.2925</v>
      </c>
      <c r="K534">
        <v>28.598749999999999</v>
      </c>
      <c r="L534">
        <v>59.875</v>
      </c>
      <c r="M534">
        <v>9.7085679999999996</v>
      </c>
      <c r="N534">
        <v>2634</v>
      </c>
      <c r="O534">
        <v>4344</v>
      </c>
      <c r="P534">
        <v>6978</v>
      </c>
    </row>
    <row r="535" spans="1:16" x14ac:dyDescent="0.3">
      <c r="A535">
        <v>534</v>
      </c>
      <c r="B535" t="s">
        <v>333</v>
      </c>
      <c r="C535">
        <v>2</v>
      </c>
      <c r="D535">
        <v>1</v>
      </c>
      <c r="E535">
        <v>6</v>
      </c>
      <c r="F535">
        <v>0</v>
      </c>
      <c r="G535">
        <v>1</v>
      </c>
      <c r="H535">
        <v>1</v>
      </c>
      <c r="I535">
        <v>2</v>
      </c>
      <c r="J535">
        <v>23.301653000000002</v>
      </c>
      <c r="K535">
        <v>27.242100000000001</v>
      </c>
      <c r="L535">
        <v>77.791700000000006</v>
      </c>
      <c r="M535">
        <v>11.707981999999999</v>
      </c>
      <c r="N535">
        <v>653</v>
      </c>
      <c r="O535">
        <v>4446</v>
      </c>
      <c r="P535">
        <v>5099</v>
      </c>
    </row>
    <row r="536" spans="1:16" x14ac:dyDescent="0.3">
      <c r="A536">
        <v>535</v>
      </c>
      <c r="B536" t="s">
        <v>334</v>
      </c>
      <c r="C536">
        <v>2</v>
      </c>
      <c r="D536">
        <v>1</v>
      </c>
      <c r="E536">
        <v>6</v>
      </c>
      <c r="F536">
        <v>0</v>
      </c>
      <c r="G536">
        <v>2</v>
      </c>
      <c r="H536">
        <v>1</v>
      </c>
      <c r="I536">
        <v>1</v>
      </c>
      <c r="J536">
        <v>28.221653</v>
      </c>
      <c r="K536">
        <v>32.7346</v>
      </c>
      <c r="L536">
        <v>69</v>
      </c>
      <c r="M536">
        <v>9.9171390000000006</v>
      </c>
      <c r="N536">
        <v>968</v>
      </c>
      <c r="O536">
        <v>5857</v>
      </c>
      <c r="P536">
        <v>6825</v>
      </c>
    </row>
    <row r="537" spans="1:16" x14ac:dyDescent="0.3">
      <c r="A537">
        <v>536</v>
      </c>
      <c r="B537" t="s">
        <v>335</v>
      </c>
      <c r="C537">
        <v>2</v>
      </c>
      <c r="D537">
        <v>1</v>
      </c>
      <c r="E537">
        <v>6</v>
      </c>
      <c r="F537">
        <v>0</v>
      </c>
      <c r="G537">
        <v>3</v>
      </c>
      <c r="H537">
        <v>1</v>
      </c>
      <c r="I537">
        <v>1</v>
      </c>
      <c r="J537">
        <v>32.082500000000003</v>
      </c>
      <c r="K537">
        <v>36.048749999999998</v>
      </c>
      <c r="L537">
        <v>59.208300000000001</v>
      </c>
      <c r="M537">
        <v>7.6254039999999996</v>
      </c>
      <c r="N537">
        <v>872</v>
      </c>
      <c r="O537">
        <v>5339</v>
      </c>
      <c r="P537">
        <v>6211</v>
      </c>
    </row>
    <row r="538" spans="1:16" x14ac:dyDescent="0.3">
      <c r="A538">
        <v>537</v>
      </c>
      <c r="B538" t="s">
        <v>336</v>
      </c>
      <c r="C538">
        <v>3</v>
      </c>
      <c r="D538">
        <v>1</v>
      </c>
      <c r="E538">
        <v>6</v>
      </c>
      <c r="F538">
        <v>0</v>
      </c>
      <c r="G538">
        <v>4</v>
      </c>
      <c r="H538">
        <v>1</v>
      </c>
      <c r="I538">
        <v>1</v>
      </c>
      <c r="J538">
        <v>33.039152999999999</v>
      </c>
      <c r="K538">
        <v>37.627099999999999</v>
      </c>
      <c r="L538">
        <v>56.791699999999999</v>
      </c>
      <c r="M538">
        <v>7.9587289999999999</v>
      </c>
      <c r="N538">
        <v>778</v>
      </c>
      <c r="O538">
        <v>5127</v>
      </c>
      <c r="P538">
        <v>5905</v>
      </c>
    </row>
    <row r="539" spans="1:16" x14ac:dyDescent="0.3">
      <c r="A539">
        <v>538</v>
      </c>
      <c r="B539" t="s">
        <v>337</v>
      </c>
      <c r="C539">
        <v>3</v>
      </c>
      <c r="D539">
        <v>1</v>
      </c>
      <c r="E539">
        <v>6</v>
      </c>
      <c r="F539">
        <v>0</v>
      </c>
      <c r="G539">
        <v>5</v>
      </c>
      <c r="H539">
        <v>1</v>
      </c>
      <c r="I539">
        <v>1</v>
      </c>
      <c r="J539">
        <v>31.877500000000001</v>
      </c>
      <c r="K539">
        <v>36.206049999999998</v>
      </c>
      <c r="L539">
        <v>57.375</v>
      </c>
      <c r="M539">
        <v>12.250413999999999</v>
      </c>
      <c r="N539">
        <v>964</v>
      </c>
      <c r="O539">
        <v>4859</v>
      </c>
      <c r="P539">
        <v>5823</v>
      </c>
    </row>
    <row r="540" spans="1:16" x14ac:dyDescent="0.3">
      <c r="A540">
        <v>539</v>
      </c>
      <c r="B540" t="s">
        <v>338</v>
      </c>
      <c r="C540">
        <v>3</v>
      </c>
      <c r="D540">
        <v>1</v>
      </c>
      <c r="E540">
        <v>6</v>
      </c>
      <c r="F540">
        <v>0</v>
      </c>
      <c r="G540">
        <v>6</v>
      </c>
      <c r="H540">
        <v>0</v>
      </c>
      <c r="I540">
        <v>1</v>
      </c>
      <c r="J540">
        <v>29.998346999999999</v>
      </c>
      <c r="K540">
        <v>32.639600000000002</v>
      </c>
      <c r="L540">
        <v>53.458300000000001</v>
      </c>
      <c r="M540">
        <v>12.041307</v>
      </c>
      <c r="N540">
        <v>2657</v>
      </c>
      <c r="O540">
        <v>4801</v>
      </c>
      <c r="P540">
        <v>7458</v>
      </c>
    </row>
    <row r="541" spans="1:16" x14ac:dyDescent="0.3">
      <c r="A541">
        <v>540</v>
      </c>
      <c r="B541" t="s">
        <v>339</v>
      </c>
      <c r="C541">
        <v>3</v>
      </c>
      <c r="D541">
        <v>1</v>
      </c>
      <c r="E541">
        <v>6</v>
      </c>
      <c r="F541">
        <v>0</v>
      </c>
      <c r="G541">
        <v>0</v>
      </c>
      <c r="H541">
        <v>0</v>
      </c>
      <c r="I541">
        <v>1</v>
      </c>
      <c r="J541">
        <v>30.476652999999999</v>
      </c>
      <c r="K541">
        <v>33.712699999999998</v>
      </c>
      <c r="L541">
        <v>47.916699999999999</v>
      </c>
      <c r="M541">
        <v>9.7501750000000005</v>
      </c>
      <c r="N541">
        <v>2551</v>
      </c>
      <c r="O541">
        <v>4340</v>
      </c>
      <c r="P541">
        <v>6891</v>
      </c>
    </row>
    <row r="542" spans="1:16" x14ac:dyDescent="0.3">
      <c r="A542">
        <v>541</v>
      </c>
      <c r="B542" t="s">
        <v>340</v>
      </c>
      <c r="C542">
        <v>3</v>
      </c>
      <c r="D542">
        <v>1</v>
      </c>
      <c r="E542">
        <v>6</v>
      </c>
      <c r="F542">
        <v>0</v>
      </c>
      <c r="G542">
        <v>1</v>
      </c>
      <c r="H542">
        <v>1</v>
      </c>
      <c r="I542">
        <v>1</v>
      </c>
      <c r="J542">
        <v>29.349153000000001</v>
      </c>
      <c r="K542">
        <v>32.702100000000002</v>
      </c>
      <c r="L542">
        <v>50.416699999999999</v>
      </c>
      <c r="M542">
        <v>20.125661000000001</v>
      </c>
      <c r="N542">
        <v>1139</v>
      </c>
      <c r="O542">
        <v>5640</v>
      </c>
      <c r="P542">
        <v>6779</v>
      </c>
    </row>
    <row r="543" spans="1:16" x14ac:dyDescent="0.3">
      <c r="A543">
        <v>542</v>
      </c>
      <c r="B543" t="s">
        <v>341</v>
      </c>
      <c r="C543">
        <v>3</v>
      </c>
      <c r="D543">
        <v>1</v>
      </c>
      <c r="E543">
        <v>6</v>
      </c>
      <c r="F543">
        <v>0</v>
      </c>
      <c r="G543">
        <v>2</v>
      </c>
      <c r="H543">
        <v>1</v>
      </c>
      <c r="I543">
        <v>1</v>
      </c>
      <c r="J543">
        <v>25.864153000000002</v>
      </c>
      <c r="K543">
        <v>29.735199999999999</v>
      </c>
      <c r="L543">
        <v>37.333300000000001</v>
      </c>
      <c r="M543">
        <v>23.292014000000002</v>
      </c>
      <c r="N543">
        <v>1077</v>
      </c>
      <c r="O543">
        <v>6365</v>
      </c>
      <c r="P543">
        <v>7442</v>
      </c>
    </row>
    <row r="544" spans="1:16" x14ac:dyDescent="0.3">
      <c r="A544">
        <v>543</v>
      </c>
      <c r="B544" t="s">
        <v>342</v>
      </c>
      <c r="C544">
        <v>3</v>
      </c>
      <c r="D544">
        <v>1</v>
      </c>
      <c r="E544">
        <v>6</v>
      </c>
      <c r="F544">
        <v>0</v>
      </c>
      <c r="G544">
        <v>3</v>
      </c>
      <c r="H544">
        <v>1</v>
      </c>
      <c r="I544">
        <v>1</v>
      </c>
      <c r="J544">
        <v>28.5975</v>
      </c>
      <c r="K544">
        <v>32.0396</v>
      </c>
      <c r="L544">
        <v>36</v>
      </c>
      <c r="M544">
        <v>18.208925000000001</v>
      </c>
      <c r="N544">
        <v>1077</v>
      </c>
      <c r="O544">
        <v>6258</v>
      </c>
      <c r="P544">
        <v>7335</v>
      </c>
    </row>
    <row r="545" spans="1:16" x14ac:dyDescent="0.3">
      <c r="A545">
        <v>544</v>
      </c>
      <c r="B545" t="s">
        <v>343</v>
      </c>
      <c r="C545">
        <v>3</v>
      </c>
      <c r="D545">
        <v>1</v>
      </c>
      <c r="E545">
        <v>6</v>
      </c>
      <c r="F545">
        <v>0</v>
      </c>
      <c r="G545">
        <v>4</v>
      </c>
      <c r="H545">
        <v>1</v>
      </c>
      <c r="I545">
        <v>1</v>
      </c>
      <c r="J545">
        <v>30.715847</v>
      </c>
      <c r="K545">
        <v>33.775599999999997</v>
      </c>
      <c r="L545">
        <v>42.25</v>
      </c>
      <c r="M545">
        <v>11.50055</v>
      </c>
      <c r="N545">
        <v>921</v>
      </c>
      <c r="O545">
        <v>5958</v>
      </c>
      <c r="P545">
        <v>6879</v>
      </c>
    </row>
    <row r="546" spans="1:16" x14ac:dyDescent="0.3">
      <c r="A546">
        <v>545</v>
      </c>
      <c r="B546" t="s">
        <v>344</v>
      </c>
      <c r="C546">
        <v>3</v>
      </c>
      <c r="D546">
        <v>1</v>
      </c>
      <c r="E546">
        <v>6</v>
      </c>
      <c r="F546">
        <v>0</v>
      </c>
      <c r="G546">
        <v>5</v>
      </c>
      <c r="H546">
        <v>1</v>
      </c>
      <c r="I546">
        <v>1</v>
      </c>
      <c r="J546">
        <v>34.200847000000003</v>
      </c>
      <c r="K546">
        <v>39.330649999999999</v>
      </c>
      <c r="L546">
        <v>48.875</v>
      </c>
      <c r="M546">
        <v>11.082939</v>
      </c>
      <c r="N546">
        <v>829</v>
      </c>
      <c r="O546">
        <v>4634</v>
      </c>
      <c r="P546">
        <v>5463</v>
      </c>
    </row>
    <row r="547" spans="1:16" x14ac:dyDescent="0.3">
      <c r="A547">
        <v>546</v>
      </c>
      <c r="B547" t="s">
        <v>345</v>
      </c>
      <c r="C547">
        <v>3</v>
      </c>
      <c r="D547">
        <v>1</v>
      </c>
      <c r="E547">
        <v>6</v>
      </c>
      <c r="F547">
        <v>0</v>
      </c>
      <c r="G547">
        <v>6</v>
      </c>
      <c r="H547">
        <v>0</v>
      </c>
      <c r="I547">
        <v>1</v>
      </c>
      <c r="J547">
        <v>31.364999999999998</v>
      </c>
      <c r="K547">
        <v>34.375399999999999</v>
      </c>
      <c r="L547">
        <v>60.125</v>
      </c>
      <c r="M547">
        <v>10.791757</v>
      </c>
      <c r="N547">
        <v>1455</v>
      </c>
      <c r="O547">
        <v>4232</v>
      </c>
      <c r="P547">
        <v>5687</v>
      </c>
    </row>
    <row r="548" spans="1:16" x14ac:dyDescent="0.3">
      <c r="A548">
        <v>547</v>
      </c>
      <c r="B548" s="1">
        <v>43472</v>
      </c>
      <c r="C548">
        <v>3</v>
      </c>
      <c r="D548">
        <v>1</v>
      </c>
      <c r="E548">
        <v>7</v>
      </c>
      <c r="F548">
        <v>0</v>
      </c>
      <c r="G548">
        <v>0</v>
      </c>
      <c r="H548">
        <v>0</v>
      </c>
      <c r="I548">
        <v>1</v>
      </c>
      <c r="J548">
        <v>33.449153000000003</v>
      </c>
      <c r="K548">
        <v>37.53145</v>
      </c>
      <c r="L548">
        <v>51.875</v>
      </c>
      <c r="M548">
        <v>11.291442999999999</v>
      </c>
      <c r="N548">
        <v>1421</v>
      </c>
      <c r="O548">
        <v>4110</v>
      </c>
      <c r="P548">
        <v>5531</v>
      </c>
    </row>
    <row r="549" spans="1:16" x14ac:dyDescent="0.3">
      <c r="A549">
        <v>548</v>
      </c>
      <c r="B549" s="1">
        <v>43503</v>
      </c>
      <c r="C549">
        <v>3</v>
      </c>
      <c r="D549">
        <v>1</v>
      </c>
      <c r="E549">
        <v>7</v>
      </c>
      <c r="F549">
        <v>0</v>
      </c>
      <c r="G549">
        <v>1</v>
      </c>
      <c r="H549">
        <v>1</v>
      </c>
      <c r="I549">
        <v>1</v>
      </c>
      <c r="J549">
        <v>32.048347</v>
      </c>
      <c r="K549">
        <v>35.101900000000001</v>
      </c>
      <c r="L549">
        <v>44.708300000000001</v>
      </c>
      <c r="M549">
        <v>13.082889</v>
      </c>
      <c r="N549">
        <v>904</v>
      </c>
      <c r="O549">
        <v>5323</v>
      </c>
      <c r="P549">
        <v>6227</v>
      </c>
    </row>
    <row r="550" spans="1:16" x14ac:dyDescent="0.3">
      <c r="A550">
        <v>549</v>
      </c>
      <c r="B550" s="1">
        <v>43531</v>
      </c>
      <c r="C550">
        <v>3</v>
      </c>
      <c r="D550">
        <v>1</v>
      </c>
      <c r="E550">
        <v>7</v>
      </c>
      <c r="F550">
        <v>0</v>
      </c>
      <c r="G550">
        <v>2</v>
      </c>
      <c r="H550">
        <v>1</v>
      </c>
      <c r="I550">
        <v>1</v>
      </c>
      <c r="J550">
        <v>32.014153</v>
      </c>
      <c r="K550">
        <v>35.1325</v>
      </c>
      <c r="L550">
        <v>49.208300000000001</v>
      </c>
      <c r="M550">
        <v>8.4578790000000001</v>
      </c>
      <c r="N550">
        <v>1052</v>
      </c>
      <c r="O550">
        <v>5608</v>
      </c>
      <c r="P550">
        <v>6660</v>
      </c>
    </row>
    <row r="551" spans="1:16" x14ac:dyDescent="0.3">
      <c r="A551">
        <v>550</v>
      </c>
      <c r="B551" s="1">
        <v>43562</v>
      </c>
      <c r="C551">
        <v>3</v>
      </c>
      <c r="D551">
        <v>1</v>
      </c>
      <c r="E551">
        <v>7</v>
      </c>
      <c r="F551">
        <v>1</v>
      </c>
      <c r="G551">
        <v>3</v>
      </c>
      <c r="H551">
        <v>0</v>
      </c>
      <c r="I551">
        <v>1</v>
      </c>
      <c r="J551">
        <v>32.355846999999997</v>
      </c>
      <c r="K551">
        <v>36.616849999999999</v>
      </c>
      <c r="L551">
        <v>53.875</v>
      </c>
      <c r="M551">
        <v>9.0416500000000006</v>
      </c>
      <c r="N551">
        <v>2562</v>
      </c>
      <c r="O551">
        <v>4841</v>
      </c>
      <c r="P551">
        <v>7403</v>
      </c>
    </row>
    <row r="552" spans="1:16" x14ac:dyDescent="0.3">
      <c r="A552">
        <v>551</v>
      </c>
      <c r="B552" s="1">
        <v>43592</v>
      </c>
      <c r="C552">
        <v>3</v>
      </c>
      <c r="D552">
        <v>1</v>
      </c>
      <c r="E552">
        <v>7</v>
      </c>
      <c r="F552">
        <v>0</v>
      </c>
      <c r="G552">
        <v>4</v>
      </c>
      <c r="H552">
        <v>1</v>
      </c>
      <c r="I552">
        <v>1</v>
      </c>
      <c r="J552">
        <v>33.927500000000002</v>
      </c>
      <c r="K552">
        <v>38.068350000000002</v>
      </c>
      <c r="L552">
        <v>45.791699999999999</v>
      </c>
      <c r="M552">
        <v>12.999943</v>
      </c>
      <c r="N552">
        <v>1405</v>
      </c>
      <c r="O552">
        <v>4836</v>
      </c>
      <c r="P552">
        <v>6241</v>
      </c>
    </row>
    <row r="553" spans="1:16" x14ac:dyDescent="0.3">
      <c r="A553">
        <v>552</v>
      </c>
      <c r="B553" s="1">
        <v>43623</v>
      </c>
      <c r="C553">
        <v>3</v>
      </c>
      <c r="D553">
        <v>1</v>
      </c>
      <c r="E553">
        <v>7</v>
      </c>
      <c r="F553">
        <v>0</v>
      </c>
      <c r="G553">
        <v>5</v>
      </c>
      <c r="H553">
        <v>1</v>
      </c>
      <c r="I553">
        <v>1</v>
      </c>
      <c r="J553">
        <v>33.961652999999998</v>
      </c>
      <c r="K553">
        <v>37.626649999999998</v>
      </c>
      <c r="L553">
        <v>45.083300000000001</v>
      </c>
      <c r="M553">
        <v>9.7915139999999994</v>
      </c>
      <c r="N553">
        <v>1366</v>
      </c>
      <c r="O553">
        <v>4841</v>
      </c>
      <c r="P553">
        <v>6207</v>
      </c>
    </row>
    <row r="554" spans="1:16" x14ac:dyDescent="0.3">
      <c r="A554">
        <v>553</v>
      </c>
      <c r="B554" s="1">
        <v>43653</v>
      </c>
      <c r="C554">
        <v>3</v>
      </c>
      <c r="D554">
        <v>1</v>
      </c>
      <c r="E554">
        <v>7</v>
      </c>
      <c r="F554">
        <v>0</v>
      </c>
      <c r="G554">
        <v>6</v>
      </c>
      <c r="H554">
        <v>0</v>
      </c>
      <c r="I554">
        <v>1</v>
      </c>
      <c r="J554">
        <v>35.328347000000001</v>
      </c>
      <c r="K554">
        <v>40.245649999999998</v>
      </c>
      <c r="L554">
        <v>49.208300000000001</v>
      </c>
      <c r="M554">
        <v>10.958118000000001</v>
      </c>
      <c r="N554">
        <v>1448</v>
      </c>
      <c r="O554">
        <v>3392</v>
      </c>
      <c r="P554">
        <v>4840</v>
      </c>
    </row>
    <row r="555" spans="1:16" x14ac:dyDescent="0.3">
      <c r="A555">
        <v>554</v>
      </c>
      <c r="B555" s="1">
        <v>43684</v>
      </c>
      <c r="C555">
        <v>3</v>
      </c>
      <c r="D555">
        <v>1</v>
      </c>
      <c r="E555">
        <v>7</v>
      </c>
      <c r="F555">
        <v>0</v>
      </c>
      <c r="G555">
        <v>0</v>
      </c>
      <c r="H555">
        <v>0</v>
      </c>
      <c r="I555">
        <v>1</v>
      </c>
      <c r="J555">
        <v>33.722499999999997</v>
      </c>
      <c r="K555">
        <v>39.519799999999996</v>
      </c>
      <c r="L555">
        <v>57.375</v>
      </c>
      <c r="M555">
        <v>8.4171429999999994</v>
      </c>
      <c r="N555">
        <v>1203</v>
      </c>
      <c r="O555">
        <v>3469</v>
      </c>
      <c r="P555">
        <v>4672</v>
      </c>
    </row>
    <row r="556" spans="1:16" x14ac:dyDescent="0.3">
      <c r="A556">
        <v>555</v>
      </c>
      <c r="B556" s="1">
        <v>43715</v>
      </c>
      <c r="C556">
        <v>3</v>
      </c>
      <c r="D556">
        <v>1</v>
      </c>
      <c r="E556">
        <v>7</v>
      </c>
      <c r="F556">
        <v>0</v>
      </c>
      <c r="G556">
        <v>1</v>
      </c>
      <c r="H556">
        <v>1</v>
      </c>
      <c r="I556">
        <v>2</v>
      </c>
      <c r="J556">
        <v>29.144152999999999</v>
      </c>
      <c r="K556">
        <v>32.7027</v>
      </c>
      <c r="L556">
        <v>68.333299999999994</v>
      </c>
      <c r="M556">
        <v>12.125325</v>
      </c>
      <c r="N556">
        <v>998</v>
      </c>
      <c r="O556">
        <v>5571</v>
      </c>
      <c r="P556">
        <v>6569</v>
      </c>
    </row>
    <row r="557" spans="1:16" x14ac:dyDescent="0.3">
      <c r="A557">
        <v>556</v>
      </c>
      <c r="B557" s="1">
        <v>43745</v>
      </c>
      <c r="C557">
        <v>3</v>
      </c>
      <c r="D557">
        <v>1</v>
      </c>
      <c r="E557">
        <v>7</v>
      </c>
      <c r="F557">
        <v>0</v>
      </c>
      <c r="G557">
        <v>2</v>
      </c>
      <c r="H557">
        <v>1</v>
      </c>
      <c r="I557">
        <v>2</v>
      </c>
      <c r="J557">
        <v>29.554152999999999</v>
      </c>
      <c r="K557">
        <v>33.239800000000002</v>
      </c>
      <c r="L557">
        <v>66.75</v>
      </c>
      <c r="M557">
        <v>10.166378999999999</v>
      </c>
      <c r="N557">
        <v>954</v>
      </c>
      <c r="O557">
        <v>5336</v>
      </c>
      <c r="P557">
        <v>6290</v>
      </c>
    </row>
    <row r="558" spans="1:16" x14ac:dyDescent="0.3">
      <c r="A558">
        <v>557</v>
      </c>
      <c r="B558" s="1">
        <v>43776</v>
      </c>
      <c r="C558">
        <v>3</v>
      </c>
      <c r="D558">
        <v>1</v>
      </c>
      <c r="E558">
        <v>7</v>
      </c>
      <c r="F558">
        <v>0</v>
      </c>
      <c r="G558">
        <v>3</v>
      </c>
      <c r="H558">
        <v>1</v>
      </c>
      <c r="I558">
        <v>1</v>
      </c>
      <c r="J558">
        <v>29.383347000000001</v>
      </c>
      <c r="K558">
        <v>32.513550000000002</v>
      </c>
      <c r="L558">
        <v>63.333300000000001</v>
      </c>
      <c r="M558">
        <v>10.166111000000001</v>
      </c>
      <c r="N558">
        <v>975</v>
      </c>
      <c r="O558">
        <v>6289</v>
      </c>
      <c r="P558">
        <v>7264</v>
      </c>
    </row>
    <row r="559" spans="1:16" x14ac:dyDescent="0.3">
      <c r="A559">
        <v>558</v>
      </c>
      <c r="B559" s="1">
        <v>43806</v>
      </c>
      <c r="C559">
        <v>3</v>
      </c>
      <c r="D559">
        <v>1</v>
      </c>
      <c r="E559">
        <v>7</v>
      </c>
      <c r="F559">
        <v>0</v>
      </c>
      <c r="G559">
        <v>4</v>
      </c>
      <c r="H559">
        <v>1</v>
      </c>
      <c r="I559">
        <v>1</v>
      </c>
      <c r="J559">
        <v>29.349153000000001</v>
      </c>
      <c r="K559">
        <v>32.73415</v>
      </c>
      <c r="L559">
        <v>52.958300000000001</v>
      </c>
      <c r="M559">
        <v>9.8339250000000007</v>
      </c>
      <c r="N559">
        <v>1032</v>
      </c>
      <c r="O559">
        <v>6414</v>
      </c>
      <c r="P559">
        <v>7446</v>
      </c>
    </row>
    <row r="560" spans="1:16" x14ac:dyDescent="0.3">
      <c r="A560">
        <v>559</v>
      </c>
      <c r="B560" t="s">
        <v>346</v>
      </c>
      <c r="C560">
        <v>3</v>
      </c>
      <c r="D560">
        <v>1</v>
      </c>
      <c r="E560">
        <v>7</v>
      </c>
      <c r="F560">
        <v>0</v>
      </c>
      <c r="G560">
        <v>5</v>
      </c>
      <c r="H560">
        <v>1</v>
      </c>
      <c r="I560">
        <v>2</v>
      </c>
      <c r="J560">
        <v>29.998346999999999</v>
      </c>
      <c r="K560">
        <v>33.396650000000001</v>
      </c>
      <c r="L560">
        <v>48.583300000000001</v>
      </c>
      <c r="M560">
        <v>5.4169499999999999</v>
      </c>
      <c r="N560">
        <v>1511</v>
      </c>
      <c r="O560">
        <v>5988</v>
      </c>
      <c r="P560">
        <v>7499</v>
      </c>
    </row>
    <row r="561" spans="1:16" x14ac:dyDescent="0.3">
      <c r="A561">
        <v>560</v>
      </c>
      <c r="B561" t="s">
        <v>347</v>
      </c>
      <c r="C561">
        <v>3</v>
      </c>
      <c r="D561">
        <v>1</v>
      </c>
      <c r="E561">
        <v>7</v>
      </c>
      <c r="F561">
        <v>0</v>
      </c>
      <c r="G561">
        <v>6</v>
      </c>
      <c r="H561">
        <v>0</v>
      </c>
      <c r="I561">
        <v>2</v>
      </c>
      <c r="J561">
        <v>28.836652999999998</v>
      </c>
      <c r="K561">
        <v>33.302100000000003</v>
      </c>
      <c r="L561">
        <v>69.916700000000006</v>
      </c>
      <c r="M561">
        <v>9.626493</v>
      </c>
      <c r="N561">
        <v>2355</v>
      </c>
      <c r="O561">
        <v>4614</v>
      </c>
      <c r="P561">
        <v>6969</v>
      </c>
    </row>
    <row r="562" spans="1:16" x14ac:dyDescent="0.3">
      <c r="A562">
        <v>561</v>
      </c>
      <c r="B562" t="s">
        <v>348</v>
      </c>
      <c r="C562">
        <v>3</v>
      </c>
      <c r="D562">
        <v>1</v>
      </c>
      <c r="E562">
        <v>7</v>
      </c>
      <c r="F562">
        <v>0</v>
      </c>
      <c r="G562">
        <v>0</v>
      </c>
      <c r="H562">
        <v>0</v>
      </c>
      <c r="I562">
        <v>1</v>
      </c>
      <c r="J562">
        <v>30.579153000000002</v>
      </c>
      <c r="K562">
        <v>35.259799999999998</v>
      </c>
      <c r="L562">
        <v>71.791700000000006</v>
      </c>
      <c r="M562">
        <v>11.166689</v>
      </c>
      <c r="N562">
        <v>1920</v>
      </c>
      <c r="O562">
        <v>4111</v>
      </c>
      <c r="P562">
        <v>6031</v>
      </c>
    </row>
    <row r="563" spans="1:16" x14ac:dyDescent="0.3">
      <c r="A563">
        <v>562</v>
      </c>
      <c r="B563" t="s">
        <v>349</v>
      </c>
      <c r="C563">
        <v>3</v>
      </c>
      <c r="D563">
        <v>1</v>
      </c>
      <c r="E563">
        <v>7</v>
      </c>
      <c r="F563">
        <v>0</v>
      </c>
      <c r="G563">
        <v>1</v>
      </c>
      <c r="H563">
        <v>1</v>
      </c>
      <c r="I563">
        <v>1</v>
      </c>
      <c r="J563">
        <v>31.296652999999999</v>
      </c>
      <c r="K563">
        <v>36.206249999999997</v>
      </c>
      <c r="L563">
        <v>64.5</v>
      </c>
      <c r="M563">
        <v>11.000529</v>
      </c>
      <c r="N563">
        <v>1088</v>
      </c>
      <c r="O563">
        <v>5742</v>
      </c>
      <c r="P563">
        <v>6830</v>
      </c>
    </row>
    <row r="564" spans="1:16" x14ac:dyDescent="0.3">
      <c r="A564">
        <v>563</v>
      </c>
      <c r="B564" t="s">
        <v>350</v>
      </c>
      <c r="C564">
        <v>3</v>
      </c>
      <c r="D564">
        <v>1</v>
      </c>
      <c r="E564">
        <v>7</v>
      </c>
      <c r="F564">
        <v>0</v>
      </c>
      <c r="G564">
        <v>2</v>
      </c>
      <c r="H564">
        <v>1</v>
      </c>
      <c r="I564">
        <v>1</v>
      </c>
      <c r="J564">
        <v>33.551653000000002</v>
      </c>
      <c r="K564">
        <v>37.784149999999997</v>
      </c>
      <c r="L564">
        <v>50.583300000000001</v>
      </c>
      <c r="M564">
        <v>7.6667430000000003</v>
      </c>
      <c r="N564">
        <v>921</v>
      </c>
      <c r="O564">
        <v>5865</v>
      </c>
      <c r="P564">
        <v>6786</v>
      </c>
    </row>
    <row r="565" spans="1:16" x14ac:dyDescent="0.3">
      <c r="A565">
        <v>564</v>
      </c>
      <c r="B565" t="s">
        <v>351</v>
      </c>
      <c r="C565">
        <v>3</v>
      </c>
      <c r="D565">
        <v>1</v>
      </c>
      <c r="E565">
        <v>7</v>
      </c>
      <c r="F565">
        <v>0</v>
      </c>
      <c r="G565">
        <v>3</v>
      </c>
      <c r="H565">
        <v>1</v>
      </c>
      <c r="I565">
        <v>1</v>
      </c>
      <c r="J565">
        <v>32.526653000000003</v>
      </c>
      <c r="K565">
        <v>37.279150000000001</v>
      </c>
      <c r="L565">
        <v>57.708300000000001</v>
      </c>
      <c r="M565">
        <v>9.2086140000000007</v>
      </c>
      <c r="N565">
        <v>799</v>
      </c>
      <c r="O565">
        <v>4914</v>
      </c>
      <c r="P565">
        <v>5713</v>
      </c>
    </row>
    <row r="566" spans="1:16" x14ac:dyDescent="0.3">
      <c r="A566">
        <v>565</v>
      </c>
      <c r="B566" t="s">
        <v>352</v>
      </c>
      <c r="C566">
        <v>3</v>
      </c>
      <c r="D566">
        <v>1</v>
      </c>
      <c r="E566">
        <v>7</v>
      </c>
      <c r="F566">
        <v>0</v>
      </c>
      <c r="G566">
        <v>4</v>
      </c>
      <c r="H566">
        <v>1</v>
      </c>
      <c r="I566">
        <v>1</v>
      </c>
      <c r="J566">
        <v>31.57</v>
      </c>
      <c r="K566">
        <v>35.732100000000003</v>
      </c>
      <c r="L566">
        <v>60.041699999999999</v>
      </c>
      <c r="M566">
        <v>11.083743</v>
      </c>
      <c r="N566">
        <v>888</v>
      </c>
      <c r="O566">
        <v>5703</v>
      </c>
      <c r="P566">
        <v>6591</v>
      </c>
    </row>
    <row r="567" spans="1:16" x14ac:dyDescent="0.3">
      <c r="A567">
        <v>566</v>
      </c>
      <c r="B567" t="s">
        <v>353</v>
      </c>
      <c r="C567">
        <v>3</v>
      </c>
      <c r="D567">
        <v>1</v>
      </c>
      <c r="E567">
        <v>7</v>
      </c>
      <c r="F567">
        <v>0</v>
      </c>
      <c r="G567">
        <v>5</v>
      </c>
      <c r="H567">
        <v>1</v>
      </c>
      <c r="I567">
        <v>2</v>
      </c>
      <c r="J567">
        <v>27.299153</v>
      </c>
      <c r="K567">
        <v>30.651250000000001</v>
      </c>
      <c r="L567">
        <v>84.416700000000006</v>
      </c>
      <c r="M567">
        <v>14.000788999999999</v>
      </c>
      <c r="N567">
        <v>747</v>
      </c>
      <c r="O567">
        <v>5123</v>
      </c>
      <c r="P567">
        <v>5870</v>
      </c>
    </row>
    <row r="568" spans="1:16" x14ac:dyDescent="0.3">
      <c r="A568">
        <v>567</v>
      </c>
      <c r="B568" t="s">
        <v>354</v>
      </c>
      <c r="C568">
        <v>3</v>
      </c>
      <c r="D568">
        <v>1</v>
      </c>
      <c r="E568">
        <v>7</v>
      </c>
      <c r="F568">
        <v>0</v>
      </c>
      <c r="G568">
        <v>6</v>
      </c>
      <c r="H568">
        <v>0</v>
      </c>
      <c r="I568">
        <v>3</v>
      </c>
      <c r="J568">
        <v>24.429152999999999</v>
      </c>
      <c r="K568">
        <v>27.4956</v>
      </c>
      <c r="L568">
        <v>86.541700000000006</v>
      </c>
      <c r="M568">
        <v>14.2911</v>
      </c>
      <c r="N568">
        <v>1264</v>
      </c>
      <c r="O568">
        <v>3195</v>
      </c>
      <c r="P568">
        <v>4459</v>
      </c>
    </row>
    <row r="569" spans="1:16" x14ac:dyDescent="0.3">
      <c r="A569">
        <v>568</v>
      </c>
      <c r="B569" t="s">
        <v>355</v>
      </c>
      <c r="C569">
        <v>3</v>
      </c>
      <c r="D569">
        <v>1</v>
      </c>
      <c r="E569">
        <v>7</v>
      </c>
      <c r="F569">
        <v>0</v>
      </c>
      <c r="G569">
        <v>0</v>
      </c>
      <c r="H569">
        <v>0</v>
      </c>
      <c r="I569">
        <v>2</v>
      </c>
      <c r="J569">
        <v>27.3675</v>
      </c>
      <c r="K569">
        <v>31.15625</v>
      </c>
      <c r="L569">
        <v>76.25</v>
      </c>
      <c r="M569">
        <v>6.2926935999999998</v>
      </c>
      <c r="N569">
        <v>2544</v>
      </c>
      <c r="O569">
        <v>4866</v>
      </c>
      <c r="P569">
        <v>7410</v>
      </c>
    </row>
    <row r="570" spans="1:16" x14ac:dyDescent="0.3">
      <c r="A570">
        <v>569</v>
      </c>
      <c r="B570" t="s">
        <v>356</v>
      </c>
      <c r="C570">
        <v>3</v>
      </c>
      <c r="D570">
        <v>1</v>
      </c>
      <c r="E570">
        <v>7</v>
      </c>
      <c r="F570">
        <v>0</v>
      </c>
      <c r="G570">
        <v>1</v>
      </c>
      <c r="H570">
        <v>1</v>
      </c>
      <c r="I570">
        <v>1</v>
      </c>
      <c r="J570">
        <v>30.408346999999999</v>
      </c>
      <c r="K570">
        <v>34.50085</v>
      </c>
      <c r="L570">
        <v>69.416700000000006</v>
      </c>
      <c r="M570">
        <v>9.2917609999999993</v>
      </c>
      <c r="N570">
        <v>1135</v>
      </c>
      <c r="O570">
        <v>5831</v>
      </c>
      <c r="P570">
        <v>6966</v>
      </c>
    </row>
    <row r="571" spans="1:16" x14ac:dyDescent="0.3">
      <c r="A571">
        <v>570</v>
      </c>
      <c r="B571" t="s">
        <v>357</v>
      </c>
      <c r="C571">
        <v>3</v>
      </c>
      <c r="D571">
        <v>1</v>
      </c>
      <c r="E571">
        <v>7</v>
      </c>
      <c r="F571">
        <v>0</v>
      </c>
      <c r="G571">
        <v>2</v>
      </c>
      <c r="H571">
        <v>1</v>
      </c>
      <c r="I571">
        <v>1</v>
      </c>
      <c r="J571">
        <v>30.784153</v>
      </c>
      <c r="K571">
        <v>35.322499999999998</v>
      </c>
      <c r="L571">
        <v>65.5</v>
      </c>
      <c r="M571">
        <v>14.167418</v>
      </c>
      <c r="N571">
        <v>1140</v>
      </c>
      <c r="O571">
        <v>6452</v>
      </c>
      <c r="P571">
        <v>7592</v>
      </c>
    </row>
    <row r="572" spans="1:16" x14ac:dyDescent="0.3">
      <c r="A572">
        <v>571</v>
      </c>
      <c r="B572" t="s">
        <v>358</v>
      </c>
      <c r="C572">
        <v>3</v>
      </c>
      <c r="D572">
        <v>1</v>
      </c>
      <c r="E572">
        <v>7</v>
      </c>
      <c r="F572">
        <v>0</v>
      </c>
      <c r="G572">
        <v>3</v>
      </c>
      <c r="H572">
        <v>1</v>
      </c>
      <c r="I572">
        <v>1</v>
      </c>
      <c r="J572">
        <v>29.690847000000002</v>
      </c>
      <c r="K572">
        <v>32.7027</v>
      </c>
      <c r="L572">
        <v>45</v>
      </c>
      <c r="M572">
        <v>11.041600000000001</v>
      </c>
      <c r="N572">
        <v>1383</v>
      </c>
      <c r="O572">
        <v>6790</v>
      </c>
      <c r="P572">
        <v>8173</v>
      </c>
    </row>
    <row r="573" spans="1:16" x14ac:dyDescent="0.3">
      <c r="A573">
        <v>572</v>
      </c>
      <c r="B573" t="s">
        <v>359</v>
      </c>
      <c r="C573">
        <v>3</v>
      </c>
      <c r="D573">
        <v>1</v>
      </c>
      <c r="E573">
        <v>7</v>
      </c>
      <c r="F573">
        <v>0</v>
      </c>
      <c r="G573">
        <v>4</v>
      </c>
      <c r="H573">
        <v>1</v>
      </c>
      <c r="I573">
        <v>1</v>
      </c>
      <c r="J573">
        <v>31.843347000000001</v>
      </c>
      <c r="K573">
        <v>36.963149999999999</v>
      </c>
      <c r="L573">
        <v>59.666699999999999</v>
      </c>
      <c r="M573">
        <v>19.082471000000002</v>
      </c>
      <c r="N573">
        <v>1036</v>
      </c>
      <c r="O573">
        <v>5825</v>
      </c>
      <c r="P573">
        <v>6861</v>
      </c>
    </row>
    <row r="574" spans="1:16" x14ac:dyDescent="0.3">
      <c r="A574">
        <v>573</v>
      </c>
      <c r="B574" t="s">
        <v>360</v>
      </c>
      <c r="C574">
        <v>3</v>
      </c>
      <c r="D574">
        <v>1</v>
      </c>
      <c r="E574">
        <v>7</v>
      </c>
      <c r="F574">
        <v>0</v>
      </c>
      <c r="G574">
        <v>5</v>
      </c>
      <c r="H574">
        <v>1</v>
      </c>
      <c r="I574">
        <v>1</v>
      </c>
      <c r="J574">
        <v>32.048347</v>
      </c>
      <c r="K574">
        <v>36.710850000000001</v>
      </c>
      <c r="L574">
        <v>59.458300000000001</v>
      </c>
      <c r="M574">
        <v>10.250463999999999</v>
      </c>
      <c r="N574">
        <v>1259</v>
      </c>
      <c r="O574">
        <v>5645</v>
      </c>
      <c r="P574">
        <v>6904</v>
      </c>
    </row>
    <row r="575" spans="1:16" x14ac:dyDescent="0.3">
      <c r="A575">
        <v>574</v>
      </c>
      <c r="B575" t="s">
        <v>361</v>
      </c>
      <c r="C575">
        <v>3</v>
      </c>
      <c r="D575">
        <v>1</v>
      </c>
      <c r="E575">
        <v>7</v>
      </c>
      <c r="F575">
        <v>0</v>
      </c>
      <c r="G575">
        <v>6</v>
      </c>
      <c r="H575">
        <v>0</v>
      </c>
      <c r="I575">
        <v>1</v>
      </c>
      <c r="J575">
        <v>30.989153000000002</v>
      </c>
      <c r="K575">
        <v>34.880200000000002</v>
      </c>
      <c r="L575">
        <v>61.333300000000001</v>
      </c>
      <c r="M575">
        <v>10.542450000000001</v>
      </c>
      <c r="N575">
        <v>2234</v>
      </c>
      <c r="O575">
        <v>4451</v>
      </c>
      <c r="P575">
        <v>6685</v>
      </c>
    </row>
    <row r="576" spans="1:16" x14ac:dyDescent="0.3">
      <c r="A576">
        <v>575</v>
      </c>
      <c r="B576" t="s">
        <v>362</v>
      </c>
      <c r="C576">
        <v>3</v>
      </c>
      <c r="D576">
        <v>1</v>
      </c>
      <c r="E576">
        <v>7</v>
      </c>
      <c r="F576">
        <v>0</v>
      </c>
      <c r="G576">
        <v>0</v>
      </c>
      <c r="H576">
        <v>0</v>
      </c>
      <c r="I576">
        <v>1</v>
      </c>
      <c r="J576">
        <v>29.588346999999999</v>
      </c>
      <c r="K576">
        <v>33.396650000000001</v>
      </c>
      <c r="L576">
        <v>62.375</v>
      </c>
      <c r="M576">
        <v>11.416532</v>
      </c>
      <c r="N576">
        <v>2153</v>
      </c>
      <c r="O576">
        <v>4444</v>
      </c>
      <c r="P576">
        <v>6597</v>
      </c>
    </row>
    <row r="577" spans="1:16" x14ac:dyDescent="0.3">
      <c r="A577">
        <v>576</v>
      </c>
      <c r="B577" t="s">
        <v>363</v>
      </c>
      <c r="C577">
        <v>3</v>
      </c>
      <c r="D577">
        <v>1</v>
      </c>
      <c r="E577">
        <v>7</v>
      </c>
      <c r="F577">
        <v>0</v>
      </c>
      <c r="G577">
        <v>1</v>
      </c>
      <c r="H577">
        <v>1</v>
      </c>
      <c r="I577">
        <v>1</v>
      </c>
      <c r="J577">
        <v>29.964153</v>
      </c>
      <c r="K577">
        <v>34.24935</v>
      </c>
      <c r="L577">
        <v>66.875</v>
      </c>
      <c r="M577">
        <v>10.292339</v>
      </c>
      <c r="N577">
        <v>1040</v>
      </c>
      <c r="O577">
        <v>6065</v>
      </c>
      <c r="P577">
        <v>7105</v>
      </c>
    </row>
    <row r="578" spans="1:16" x14ac:dyDescent="0.3">
      <c r="A578">
        <v>577</v>
      </c>
      <c r="B578" t="s">
        <v>364</v>
      </c>
      <c r="C578">
        <v>3</v>
      </c>
      <c r="D578">
        <v>1</v>
      </c>
      <c r="E578">
        <v>7</v>
      </c>
      <c r="F578">
        <v>0</v>
      </c>
      <c r="G578">
        <v>2</v>
      </c>
      <c r="H578">
        <v>1</v>
      </c>
      <c r="I578">
        <v>1</v>
      </c>
      <c r="J578">
        <v>29.246652999999998</v>
      </c>
      <c r="K578">
        <v>33.144799999999996</v>
      </c>
      <c r="L578">
        <v>70.416700000000006</v>
      </c>
      <c r="M578">
        <v>11.083475</v>
      </c>
      <c r="N578">
        <v>968</v>
      </c>
      <c r="O578">
        <v>6248</v>
      </c>
      <c r="P578">
        <v>7216</v>
      </c>
    </row>
    <row r="579" spans="1:16" x14ac:dyDescent="0.3">
      <c r="A579">
        <v>578</v>
      </c>
      <c r="B579" s="1">
        <v>43473</v>
      </c>
      <c r="C579">
        <v>3</v>
      </c>
      <c r="D579">
        <v>1</v>
      </c>
      <c r="E579">
        <v>8</v>
      </c>
      <c r="F579">
        <v>0</v>
      </c>
      <c r="G579">
        <v>3</v>
      </c>
      <c r="H579">
        <v>1</v>
      </c>
      <c r="I579">
        <v>1</v>
      </c>
      <c r="J579">
        <v>29.4175</v>
      </c>
      <c r="K579">
        <v>33.365400000000001</v>
      </c>
      <c r="L579">
        <v>67.75</v>
      </c>
      <c r="M579">
        <v>9.4589929999999995</v>
      </c>
      <c r="N579">
        <v>1074</v>
      </c>
      <c r="O579">
        <v>6506</v>
      </c>
      <c r="P579">
        <v>7580</v>
      </c>
    </row>
    <row r="580" spans="1:16" x14ac:dyDescent="0.3">
      <c r="A580">
        <v>579</v>
      </c>
      <c r="B580" s="1">
        <v>43504</v>
      </c>
      <c r="C580">
        <v>3</v>
      </c>
      <c r="D580">
        <v>1</v>
      </c>
      <c r="E580">
        <v>8</v>
      </c>
      <c r="F580">
        <v>0</v>
      </c>
      <c r="G580">
        <v>4</v>
      </c>
      <c r="H580">
        <v>1</v>
      </c>
      <c r="I580">
        <v>1</v>
      </c>
      <c r="J580">
        <v>30.852499999999999</v>
      </c>
      <c r="K580">
        <v>35.354399999999998</v>
      </c>
      <c r="L580">
        <v>65.958299999999994</v>
      </c>
      <c r="M580">
        <v>8.6667179999999995</v>
      </c>
      <c r="N580">
        <v>983</v>
      </c>
      <c r="O580">
        <v>6278</v>
      </c>
      <c r="P580">
        <v>7261</v>
      </c>
    </row>
    <row r="581" spans="1:16" x14ac:dyDescent="0.3">
      <c r="A581">
        <v>580</v>
      </c>
      <c r="B581" s="1">
        <v>43532</v>
      </c>
      <c r="C581">
        <v>3</v>
      </c>
      <c r="D581">
        <v>1</v>
      </c>
      <c r="E581">
        <v>8</v>
      </c>
      <c r="F581">
        <v>0</v>
      </c>
      <c r="G581">
        <v>5</v>
      </c>
      <c r="H581">
        <v>1</v>
      </c>
      <c r="I581">
        <v>2</v>
      </c>
      <c r="J581">
        <v>31.399152999999998</v>
      </c>
      <c r="K581">
        <v>36.143349999999998</v>
      </c>
      <c r="L581">
        <v>64.25</v>
      </c>
      <c r="M581">
        <v>14.458064</v>
      </c>
      <c r="N581">
        <v>1328</v>
      </c>
      <c r="O581">
        <v>5847</v>
      </c>
      <c r="P581">
        <v>7175</v>
      </c>
    </row>
    <row r="582" spans="1:16" x14ac:dyDescent="0.3">
      <c r="A582">
        <v>581</v>
      </c>
      <c r="B582" s="1">
        <v>43563</v>
      </c>
      <c r="C582">
        <v>3</v>
      </c>
      <c r="D582">
        <v>1</v>
      </c>
      <c r="E582">
        <v>8</v>
      </c>
      <c r="F582">
        <v>0</v>
      </c>
      <c r="G582">
        <v>6</v>
      </c>
      <c r="H582">
        <v>0</v>
      </c>
      <c r="I582">
        <v>1</v>
      </c>
      <c r="J582">
        <v>32.526653000000003</v>
      </c>
      <c r="K582">
        <v>37.56335</v>
      </c>
      <c r="L582">
        <v>61.333300000000001</v>
      </c>
      <c r="M582">
        <v>17.249686000000001</v>
      </c>
      <c r="N582">
        <v>2345</v>
      </c>
      <c r="O582">
        <v>4479</v>
      </c>
      <c r="P582">
        <v>6824</v>
      </c>
    </row>
    <row r="583" spans="1:16" x14ac:dyDescent="0.3">
      <c r="A583">
        <v>582</v>
      </c>
      <c r="B583" s="1">
        <v>43593</v>
      </c>
      <c r="C583">
        <v>3</v>
      </c>
      <c r="D583">
        <v>1</v>
      </c>
      <c r="E583">
        <v>8</v>
      </c>
      <c r="F583">
        <v>0</v>
      </c>
      <c r="G583">
        <v>0</v>
      </c>
      <c r="H583">
        <v>0</v>
      </c>
      <c r="I583">
        <v>1</v>
      </c>
      <c r="J583">
        <v>31.535847</v>
      </c>
      <c r="K583">
        <v>36.55395</v>
      </c>
      <c r="L583">
        <v>65.25</v>
      </c>
      <c r="M583">
        <v>19.458207000000002</v>
      </c>
      <c r="N583">
        <v>1707</v>
      </c>
      <c r="O583">
        <v>3757</v>
      </c>
      <c r="P583">
        <v>5464</v>
      </c>
    </row>
    <row r="584" spans="1:16" x14ac:dyDescent="0.3">
      <c r="A584">
        <v>583</v>
      </c>
      <c r="B584" s="1">
        <v>43624</v>
      </c>
      <c r="C584">
        <v>3</v>
      </c>
      <c r="D584">
        <v>1</v>
      </c>
      <c r="E584">
        <v>8</v>
      </c>
      <c r="F584">
        <v>0</v>
      </c>
      <c r="G584">
        <v>1</v>
      </c>
      <c r="H584">
        <v>1</v>
      </c>
      <c r="I584">
        <v>2</v>
      </c>
      <c r="J584">
        <v>30.852499999999999</v>
      </c>
      <c r="K584">
        <v>35.512300000000003</v>
      </c>
      <c r="L584">
        <v>65.416700000000006</v>
      </c>
      <c r="M584">
        <v>8.6667179999999995</v>
      </c>
      <c r="N584">
        <v>1233</v>
      </c>
      <c r="O584">
        <v>5780</v>
      </c>
      <c r="P584">
        <v>7013</v>
      </c>
    </row>
    <row r="585" spans="1:16" x14ac:dyDescent="0.3">
      <c r="A585">
        <v>584</v>
      </c>
      <c r="B585" s="1">
        <v>43654</v>
      </c>
      <c r="C585">
        <v>3</v>
      </c>
      <c r="D585">
        <v>1</v>
      </c>
      <c r="E585">
        <v>8</v>
      </c>
      <c r="F585">
        <v>0</v>
      </c>
      <c r="G585">
        <v>2</v>
      </c>
      <c r="H585">
        <v>1</v>
      </c>
      <c r="I585">
        <v>2</v>
      </c>
      <c r="J585">
        <v>30.169153000000001</v>
      </c>
      <c r="K585">
        <v>34.881050000000002</v>
      </c>
      <c r="L585">
        <v>70.375</v>
      </c>
      <c r="M585">
        <v>7.8328360000000004</v>
      </c>
      <c r="N585">
        <v>1278</v>
      </c>
      <c r="O585">
        <v>5995</v>
      </c>
      <c r="P585">
        <v>7273</v>
      </c>
    </row>
    <row r="586" spans="1:16" x14ac:dyDescent="0.3">
      <c r="A586">
        <v>585</v>
      </c>
      <c r="B586" s="1">
        <v>43685</v>
      </c>
      <c r="C586">
        <v>3</v>
      </c>
      <c r="D586">
        <v>1</v>
      </c>
      <c r="E586">
        <v>8</v>
      </c>
      <c r="F586">
        <v>0</v>
      </c>
      <c r="G586">
        <v>3</v>
      </c>
      <c r="H586">
        <v>1</v>
      </c>
      <c r="I586">
        <v>2</v>
      </c>
      <c r="J586">
        <v>30.75</v>
      </c>
      <c r="K586">
        <v>35.385849999999998</v>
      </c>
      <c r="L586">
        <v>67.291700000000006</v>
      </c>
      <c r="M586">
        <v>7.4169</v>
      </c>
      <c r="N586">
        <v>1263</v>
      </c>
      <c r="O586">
        <v>6271</v>
      </c>
      <c r="P586">
        <v>7534</v>
      </c>
    </row>
    <row r="587" spans="1:16" x14ac:dyDescent="0.3">
      <c r="A587">
        <v>586</v>
      </c>
      <c r="B587" s="1">
        <v>43716</v>
      </c>
      <c r="C587">
        <v>3</v>
      </c>
      <c r="D587">
        <v>1</v>
      </c>
      <c r="E587">
        <v>8</v>
      </c>
      <c r="F587">
        <v>0</v>
      </c>
      <c r="G587">
        <v>4</v>
      </c>
      <c r="H587">
        <v>1</v>
      </c>
      <c r="I587">
        <v>1</v>
      </c>
      <c r="J587">
        <v>30.989153000000002</v>
      </c>
      <c r="K587">
        <v>34.9754</v>
      </c>
      <c r="L587">
        <v>62.041699999999999</v>
      </c>
      <c r="M587">
        <v>10.4587</v>
      </c>
      <c r="N587">
        <v>1196</v>
      </c>
      <c r="O587">
        <v>6090</v>
      </c>
      <c r="P587">
        <v>7286</v>
      </c>
    </row>
    <row r="588" spans="1:16" x14ac:dyDescent="0.3">
      <c r="A588">
        <v>587</v>
      </c>
      <c r="B588" s="1">
        <v>43746</v>
      </c>
      <c r="C588">
        <v>3</v>
      </c>
      <c r="D588">
        <v>1</v>
      </c>
      <c r="E588">
        <v>8</v>
      </c>
      <c r="F588">
        <v>0</v>
      </c>
      <c r="G588">
        <v>5</v>
      </c>
      <c r="H588">
        <v>1</v>
      </c>
      <c r="I588">
        <v>2</v>
      </c>
      <c r="J588">
        <v>29.349153000000001</v>
      </c>
      <c r="K588">
        <v>33.397100000000002</v>
      </c>
      <c r="L588">
        <v>71.583299999999994</v>
      </c>
      <c r="M588">
        <v>16.000471000000001</v>
      </c>
      <c r="N588">
        <v>1065</v>
      </c>
      <c r="O588">
        <v>4721</v>
      </c>
      <c r="P588">
        <v>5786</v>
      </c>
    </row>
    <row r="589" spans="1:16" x14ac:dyDescent="0.3">
      <c r="A589">
        <v>588</v>
      </c>
      <c r="B589" s="1">
        <v>43777</v>
      </c>
      <c r="C589">
        <v>3</v>
      </c>
      <c r="D589">
        <v>1</v>
      </c>
      <c r="E589">
        <v>8</v>
      </c>
      <c r="F589">
        <v>0</v>
      </c>
      <c r="G589">
        <v>6</v>
      </c>
      <c r="H589">
        <v>0</v>
      </c>
      <c r="I589">
        <v>2</v>
      </c>
      <c r="J589">
        <v>28.392499999999998</v>
      </c>
      <c r="K589">
        <v>31.913350000000001</v>
      </c>
      <c r="L589">
        <v>73.291700000000006</v>
      </c>
      <c r="M589">
        <v>13.834092999999999</v>
      </c>
      <c r="N589">
        <v>2247</v>
      </c>
      <c r="O589">
        <v>4052</v>
      </c>
      <c r="P589">
        <v>6299</v>
      </c>
    </row>
    <row r="590" spans="1:16" x14ac:dyDescent="0.3">
      <c r="A590">
        <v>589</v>
      </c>
      <c r="B590" s="1">
        <v>43807</v>
      </c>
      <c r="C590">
        <v>3</v>
      </c>
      <c r="D590">
        <v>1</v>
      </c>
      <c r="E590">
        <v>8</v>
      </c>
      <c r="F590">
        <v>0</v>
      </c>
      <c r="G590">
        <v>0</v>
      </c>
      <c r="H590">
        <v>0</v>
      </c>
      <c r="I590">
        <v>1</v>
      </c>
      <c r="J590">
        <v>28.734152999999999</v>
      </c>
      <c r="K590">
        <v>32.228949999999998</v>
      </c>
      <c r="L590">
        <v>53.041699999999999</v>
      </c>
      <c r="M590">
        <v>8.208304</v>
      </c>
      <c r="N590">
        <v>2182</v>
      </c>
      <c r="O590">
        <v>4362</v>
      </c>
      <c r="P590">
        <v>6544</v>
      </c>
    </row>
    <row r="591" spans="1:16" x14ac:dyDescent="0.3">
      <c r="A591">
        <v>590</v>
      </c>
      <c r="B591" t="s">
        <v>365</v>
      </c>
      <c r="C591">
        <v>3</v>
      </c>
      <c r="D591">
        <v>1</v>
      </c>
      <c r="E591">
        <v>8</v>
      </c>
      <c r="F591">
        <v>0</v>
      </c>
      <c r="G591">
        <v>1</v>
      </c>
      <c r="H591">
        <v>1</v>
      </c>
      <c r="I591">
        <v>1</v>
      </c>
      <c r="J591">
        <v>29.554152999999999</v>
      </c>
      <c r="K591">
        <v>33.112699999999997</v>
      </c>
      <c r="L591">
        <v>54.541699999999999</v>
      </c>
      <c r="M591">
        <v>9.1262039999999995</v>
      </c>
      <c r="N591">
        <v>1207</v>
      </c>
      <c r="O591">
        <v>5676</v>
      </c>
      <c r="P591">
        <v>6883</v>
      </c>
    </row>
    <row r="592" spans="1:16" x14ac:dyDescent="0.3">
      <c r="A592">
        <v>591</v>
      </c>
      <c r="B592" t="s">
        <v>366</v>
      </c>
      <c r="C592">
        <v>3</v>
      </c>
      <c r="D592">
        <v>1</v>
      </c>
      <c r="E592">
        <v>8</v>
      </c>
      <c r="F592">
        <v>0</v>
      </c>
      <c r="G592">
        <v>2</v>
      </c>
      <c r="H592">
        <v>1</v>
      </c>
      <c r="I592">
        <v>1</v>
      </c>
      <c r="J592">
        <v>29.793347000000001</v>
      </c>
      <c r="K592">
        <v>33.838949999999997</v>
      </c>
      <c r="L592">
        <v>68.666700000000006</v>
      </c>
      <c r="M592">
        <v>11.333586</v>
      </c>
      <c r="N592">
        <v>1128</v>
      </c>
      <c r="O592">
        <v>5656</v>
      </c>
      <c r="P592">
        <v>6784</v>
      </c>
    </row>
    <row r="593" spans="1:16" x14ac:dyDescent="0.3">
      <c r="A593">
        <v>592</v>
      </c>
      <c r="B593" t="s">
        <v>367</v>
      </c>
      <c r="C593">
        <v>3</v>
      </c>
      <c r="D593">
        <v>1</v>
      </c>
      <c r="E593">
        <v>8</v>
      </c>
      <c r="F593">
        <v>0</v>
      </c>
      <c r="G593">
        <v>3</v>
      </c>
      <c r="H593">
        <v>1</v>
      </c>
      <c r="I593">
        <v>1</v>
      </c>
      <c r="J593">
        <v>28.973347</v>
      </c>
      <c r="K593">
        <v>32.70185</v>
      </c>
      <c r="L593">
        <v>61.958300000000001</v>
      </c>
      <c r="M593">
        <v>11.374656999999999</v>
      </c>
      <c r="N593">
        <v>1198</v>
      </c>
      <c r="O593">
        <v>6149</v>
      </c>
      <c r="P593">
        <v>7347</v>
      </c>
    </row>
    <row r="594" spans="1:16" x14ac:dyDescent="0.3">
      <c r="A594">
        <v>593</v>
      </c>
      <c r="B594" t="s">
        <v>368</v>
      </c>
      <c r="C594">
        <v>3</v>
      </c>
      <c r="D594">
        <v>1</v>
      </c>
      <c r="E594">
        <v>8</v>
      </c>
      <c r="F594">
        <v>0</v>
      </c>
      <c r="G594">
        <v>4</v>
      </c>
      <c r="H594">
        <v>1</v>
      </c>
      <c r="I594">
        <v>1</v>
      </c>
      <c r="J594">
        <v>29.485847</v>
      </c>
      <c r="K594">
        <v>32.734400000000001</v>
      </c>
      <c r="L594">
        <v>51.916699999999999</v>
      </c>
      <c r="M594">
        <v>9.5003320000000002</v>
      </c>
      <c r="N594">
        <v>1338</v>
      </c>
      <c r="O594">
        <v>6267</v>
      </c>
      <c r="P594">
        <v>7605</v>
      </c>
    </row>
    <row r="595" spans="1:16" x14ac:dyDescent="0.3">
      <c r="A595">
        <v>594</v>
      </c>
      <c r="B595" t="s">
        <v>369</v>
      </c>
      <c r="C595">
        <v>3</v>
      </c>
      <c r="D595">
        <v>1</v>
      </c>
      <c r="E595">
        <v>8</v>
      </c>
      <c r="F595">
        <v>0</v>
      </c>
      <c r="G595">
        <v>5</v>
      </c>
      <c r="H595">
        <v>1</v>
      </c>
      <c r="I595">
        <v>1</v>
      </c>
      <c r="J595">
        <v>29.656652999999999</v>
      </c>
      <c r="K595">
        <v>12.12</v>
      </c>
      <c r="L595">
        <v>57.083300000000001</v>
      </c>
      <c r="M595">
        <v>15.500718000000001</v>
      </c>
      <c r="N595">
        <v>1483</v>
      </c>
      <c r="O595">
        <v>5665</v>
      </c>
      <c r="P595">
        <v>7148</v>
      </c>
    </row>
    <row r="596" spans="1:16" x14ac:dyDescent="0.3">
      <c r="A596">
        <v>595</v>
      </c>
      <c r="B596" t="s">
        <v>370</v>
      </c>
      <c r="C596">
        <v>3</v>
      </c>
      <c r="D596">
        <v>1</v>
      </c>
      <c r="E596">
        <v>8</v>
      </c>
      <c r="F596">
        <v>0</v>
      </c>
      <c r="G596">
        <v>6</v>
      </c>
      <c r="H596">
        <v>0</v>
      </c>
      <c r="I596">
        <v>1</v>
      </c>
      <c r="J596">
        <v>27.811653</v>
      </c>
      <c r="K596">
        <v>30.903549999999999</v>
      </c>
      <c r="L596">
        <v>60.333300000000001</v>
      </c>
      <c r="M596">
        <v>11.917089000000001</v>
      </c>
      <c r="N596">
        <v>2827</v>
      </c>
      <c r="O596">
        <v>5038</v>
      </c>
      <c r="P596">
        <v>7865</v>
      </c>
    </row>
    <row r="597" spans="1:16" x14ac:dyDescent="0.3">
      <c r="A597">
        <v>596</v>
      </c>
      <c r="B597" t="s">
        <v>371</v>
      </c>
      <c r="C597">
        <v>3</v>
      </c>
      <c r="D597">
        <v>1</v>
      </c>
      <c r="E597">
        <v>8</v>
      </c>
      <c r="F597">
        <v>0</v>
      </c>
      <c r="G597">
        <v>0</v>
      </c>
      <c r="H597">
        <v>0</v>
      </c>
      <c r="I597">
        <v>2</v>
      </c>
      <c r="J597">
        <v>26.069153</v>
      </c>
      <c r="K597">
        <v>30.177700000000002</v>
      </c>
      <c r="L597">
        <v>71.166700000000006</v>
      </c>
      <c r="M597">
        <v>5.7921500000000004</v>
      </c>
      <c r="N597">
        <v>1208</v>
      </c>
      <c r="O597">
        <v>3341</v>
      </c>
      <c r="P597">
        <v>4549</v>
      </c>
    </row>
    <row r="598" spans="1:16" x14ac:dyDescent="0.3">
      <c r="A598">
        <v>597</v>
      </c>
      <c r="B598" t="s">
        <v>372</v>
      </c>
      <c r="C598">
        <v>3</v>
      </c>
      <c r="D598">
        <v>1</v>
      </c>
      <c r="E598">
        <v>8</v>
      </c>
      <c r="F598">
        <v>0</v>
      </c>
      <c r="G598">
        <v>1</v>
      </c>
      <c r="H598">
        <v>1</v>
      </c>
      <c r="I598">
        <v>2</v>
      </c>
      <c r="J598">
        <v>26.069153</v>
      </c>
      <c r="K598">
        <v>29.798349999999999</v>
      </c>
      <c r="L598">
        <v>73.416700000000006</v>
      </c>
      <c r="M598">
        <v>8.7085930000000005</v>
      </c>
      <c r="N598">
        <v>1026</v>
      </c>
      <c r="O598">
        <v>5504</v>
      </c>
      <c r="P598">
        <v>6530</v>
      </c>
    </row>
    <row r="599" spans="1:16" x14ac:dyDescent="0.3">
      <c r="A599">
        <v>598</v>
      </c>
      <c r="B599" t="s">
        <v>373</v>
      </c>
      <c r="C599">
        <v>3</v>
      </c>
      <c r="D599">
        <v>1</v>
      </c>
      <c r="E599">
        <v>8</v>
      </c>
      <c r="F599">
        <v>0</v>
      </c>
      <c r="G599">
        <v>2</v>
      </c>
      <c r="H599">
        <v>1</v>
      </c>
      <c r="I599">
        <v>1</v>
      </c>
      <c r="J599">
        <v>26.615846999999999</v>
      </c>
      <c r="K599">
        <v>30.05125</v>
      </c>
      <c r="L599">
        <v>67.375</v>
      </c>
      <c r="M599">
        <v>4.8756436000000001</v>
      </c>
      <c r="N599">
        <v>1081</v>
      </c>
      <c r="O599">
        <v>5925</v>
      </c>
      <c r="P599">
        <v>7006</v>
      </c>
    </row>
    <row r="600" spans="1:16" x14ac:dyDescent="0.3">
      <c r="A600">
        <v>599</v>
      </c>
      <c r="B600" t="s">
        <v>374</v>
      </c>
      <c r="C600">
        <v>3</v>
      </c>
      <c r="D600">
        <v>1</v>
      </c>
      <c r="E600">
        <v>8</v>
      </c>
      <c r="F600">
        <v>0</v>
      </c>
      <c r="G600">
        <v>3</v>
      </c>
      <c r="H600">
        <v>1</v>
      </c>
      <c r="I600">
        <v>1</v>
      </c>
      <c r="J600">
        <v>27.3675</v>
      </c>
      <c r="K600">
        <v>31.092700000000001</v>
      </c>
      <c r="L600">
        <v>67.708299999999994</v>
      </c>
      <c r="M600">
        <v>4.7089810999999999</v>
      </c>
      <c r="N600">
        <v>1094</v>
      </c>
      <c r="O600">
        <v>6281</v>
      </c>
      <c r="P600">
        <v>7375</v>
      </c>
    </row>
    <row r="601" spans="1:16" x14ac:dyDescent="0.3">
      <c r="A601">
        <v>600</v>
      </c>
      <c r="B601" t="s">
        <v>375</v>
      </c>
      <c r="C601">
        <v>3</v>
      </c>
      <c r="D601">
        <v>1</v>
      </c>
      <c r="E601">
        <v>8</v>
      </c>
      <c r="F601">
        <v>0</v>
      </c>
      <c r="G601">
        <v>4</v>
      </c>
      <c r="H601">
        <v>1</v>
      </c>
      <c r="I601">
        <v>1</v>
      </c>
      <c r="J601">
        <v>28.529153000000001</v>
      </c>
      <c r="K601">
        <v>31.8504</v>
      </c>
      <c r="L601">
        <v>63.583300000000001</v>
      </c>
      <c r="M601">
        <v>5.6679186000000001</v>
      </c>
      <c r="N601">
        <v>1363</v>
      </c>
      <c r="O601">
        <v>6402</v>
      </c>
      <c r="P601">
        <v>7765</v>
      </c>
    </row>
    <row r="602" spans="1:16" x14ac:dyDescent="0.3">
      <c r="A602">
        <v>601</v>
      </c>
      <c r="B602" t="s">
        <v>376</v>
      </c>
      <c r="C602">
        <v>3</v>
      </c>
      <c r="D602">
        <v>1</v>
      </c>
      <c r="E602">
        <v>8</v>
      </c>
      <c r="F602">
        <v>0</v>
      </c>
      <c r="G602">
        <v>5</v>
      </c>
      <c r="H602">
        <v>1</v>
      </c>
      <c r="I602">
        <v>2</v>
      </c>
      <c r="J602">
        <v>28.802499999999998</v>
      </c>
      <c r="K602">
        <v>32.354999999999997</v>
      </c>
      <c r="L602">
        <v>61.5</v>
      </c>
      <c r="M602">
        <v>4.8337686</v>
      </c>
      <c r="N602">
        <v>1325</v>
      </c>
      <c r="O602">
        <v>6257</v>
      </c>
      <c r="P602">
        <v>7582</v>
      </c>
    </row>
    <row r="603" spans="1:16" x14ac:dyDescent="0.3">
      <c r="A603">
        <v>602</v>
      </c>
      <c r="B603" t="s">
        <v>377</v>
      </c>
      <c r="C603">
        <v>3</v>
      </c>
      <c r="D603">
        <v>1</v>
      </c>
      <c r="E603">
        <v>8</v>
      </c>
      <c r="F603">
        <v>0</v>
      </c>
      <c r="G603">
        <v>6</v>
      </c>
      <c r="H603">
        <v>0</v>
      </c>
      <c r="I603">
        <v>2</v>
      </c>
      <c r="J603">
        <v>27.128347000000002</v>
      </c>
      <c r="K603">
        <v>30.934799999999999</v>
      </c>
      <c r="L603">
        <v>71.291700000000006</v>
      </c>
      <c r="M603">
        <v>16.375336000000001</v>
      </c>
      <c r="N603">
        <v>1829</v>
      </c>
      <c r="O603">
        <v>4224</v>
      </c>
      <c r="P603">
        <v>6053</v>
      </c>
    </row>
    <row r="604" spans="1:16" x14ac:dyDescent="0.3">
      <c r="A604">
        <v>603</v>
      </c>
      <c r="B604" t="s">
        <v>378</v>
      </c>
      <c r="C604">
        <v>3</v>
      </c>
      <c r="D604">
        <v>1</v>
      </c>
      <c r="E604">
        <v>8</v>
      </c>
      <c r="F604">
        <v>0</v>
      </c>
      <c r="G604">
        <v>0</v>
      </c>
      <c r="H604">
        <v>0</v>
      </c>
      <c r="I604">
        <v>2</v>
      </c>
      <c r="J604">
        <v>26.786653000000001</v>
      </c>
      <c r="K604">
        <v>29.799800000000001</v>
      </c>
      <c r="L604">
        <v>84.583299999999994</v>
      </c>
      <c r="M604">
        <v>15.333486000000001</v>
      </c>
      <c r="N604">
        <v>1483</v>
      </c>
      <c r="O604">
        <v>3772</v>
      </c>
      <c r="P604">
        <v>5255</v>
      </c>
    </row>
    <row r="605" spans="1:16" x14ac:dyDescent="0.3">
      <c r="A605">
        <v>604</v>
      </c>
      <c r="B605" t="s">
        <v>379</v>
      </c>
      <c r="C605">
        <v>3</v>
      </c>
      <c r="D605">
        <v>1</v>
      </c>
      <c r="E605">
        <v>8</v>
      </c>
      <c r="F605">
        <v>0</v>
      </c>
      <c r="G605">
        <v>1</v>
      </c>
      <c r="H605">
        <v>1</v>
      </c>
      <c r="I605">
        <v>1</v>
      </c>
      <c r="J605">
        <v>28.836652999999998</v>
      </c>
      <c r="K605">
        <v>32.734400000000001</v>
      </c>
      <c r="L605">
        <v>73.041700000000006</v>
      </c>
      <c r="M605">
        <v>8.6251110000000004</v>
      </c>
      <c r="N605">
        <v>989</v>
      </c>
      <c r="O605">
        <v>5928</v>
      </c>
      <c r="P605">
        <v>6917</v>
      </c>
    </row>
    <row r="606" spans="1:16" x14ac:dyDescent="0.3">
      <c r="A606">
        <v>605</v>
      </c>
      <c r="B606" t="s">
        <v>380</v>
      </c>
      <c r="C606">
        <v>3</v>
      </c>
      <c r="D606">
        <v>1</v>
      </c>
      <c r="E606">
        <v>8</v>
      </c>
      <c r="F606">
        <v>0</v>
      </c>
      <c r="G606">
        <v>2</v>
      </c>
      <c r="H606">
        <v>1</v>
      </c>
      <c r="I606">
        <v>1</v>
      </c>
      <c r="J606">
        <v>29.861653</v>
      </c>
      <c r="K606">
        <v>33.302500000000002</v>
      </c>
      <c r="L606">
        <v>62</v>
      </c>
      <c r="M606">
        <v>12.791975000000001</v>
      </c>
      <c r="N606">
        <v>935</v>
      </c>
      <c r="O606">
        <v>6105</v>
      </c>
      <c r="P606">
        <v>7040</v>
      </c>
    </row>
    <row r="607" spans="1:16" x14ac:dyDescent="0.3">
      <c r="A607">
        <v>606</v>
      </c>
      <c r="B607" t="s">
        <v>381</v>
      </c>
      <c r="C607">
        <v>3</v>
      </c>
      <c r="D607">
        <v>1</v>
      </c>
      <c r="E607">
        <v>8</v>
      </c>
      <c r="F607">
        <v>0</v>
      </c>
      <c r="G607">
        <v>3</v>
      </c>
      <c r="H607">
        <v>1</v>
      </c>
      <c r="I607">
        <v>1</v>
      </c>
      <c r="J607">
        <v>28.085000000000001</v>
      </c>
      <c r="K607">
        <v>31.786650000000002</v>
      </c>
      <c r="L607">
        <v>55.208300000000001</v>
      </c>
      <c r="M607">
        <v>7.5416540000000003</v>
      </c>
      <c r="N607">
        <v>1177</v>
      </c>
      <c r="O607">
        <v>6520</v>
      </c>
      <c r="P607">
        <v>7697</v>
      </c>
    </row>
    <row r="608" spans="1:16" x14ac:dyDescent="0.3">
      <c r="A608">
        <v>607</v>
      </c>
      <c r="B608" t="s">
        <v>382</v>
      </c>
      <c r="C608">
        <v>3</v>
      </c>
      <c r="D608">
        <v>1</v>
      </c>
      <c r="E608">
        <v>8</v>
      </c>
      <c r="F608">
        <v>0</v>
      </c>
      <c r="G608">
        <v>4</v>
      </c>
      <c r="H608">
        <v>1</v>
      </c>
      <c r="I608">
        <v>1</v>
      </c>
      <c r="J608">
        <v>28.973347</v>
      </c>
      <c r="K608">
        <v>32.638950000000001</v>
      </c>
      <c r="L608">
        <v>59.041699999999999</v>
      </c>
      <c r="M608">
        <v>5.1668189</v>
      </c>
      <c r="N608">
        <v>1172</v>
      </c>
      <c r="O608">
        <v>6541</v>
      </c>
      <c r="P608">
        <v>7713</v>
      </c>
    </row>
    <row r="609" spans="1:16" x14ac:dyDescent="0.3">
      <c r="A609">
        <v>608</v>
      </c>
      <c r="B609" t="s">
        <v>383</v>
      </c>
      <c r="C609">
        <v>3</v>
      </c>
      <c r="D609">
        <v>1</v>
      </c>
      <c r="E609">
        <v>8</v>
      </c>
      <c r="F609">
        <v>0</v>
      </c>
      <c r="G609">
        <v>5</v>
      </c>
      <c r="H609">
        <v>1</v>
      </c>
      <c r="I609">
        <v>1</v>
      </c>
      <c r="J609">
        <v>31.330846999999999</v>
      </c>
      <c r="K609">
        <v>34.47</v>
      </c>
      <c r="L609">
        <v>58.75</v>
      </c>
      <c r="M609">
        <v>11.291710999999999</v>
      </c>
      <c r="N609">
        <v>1433</v>
      </c>
      <c r="O609">
        <v>5917</v>
      </c>
      <c r="P609">
        <v>7350</v>
      </c>
    </row>
    <row r="610" spans="1:16" x14ac:dyDescent="0.3">
      <c r="A610">
        <v>609</v>
      </c>
      <c r="B610" s="1">
        <v>43474</v>
      </c>
      <c r="C610">
        <v>3</v>
      </c>
      <c r="D610">
        <v>1</v>
      </c>
      <c r="E610">
        <v>9</v>
      </c>
      <c r="F610">
        <v>0</v>
      </c>
      <c r="G610">
        <v>6</v>
      </c>
      <c r="H610">
        <v>0</v>
      </c>
      <c r="I610">
        <v>2</v>
      </c>
      <c r="J610">
        <v>30.886652999999999</v>
      </c>
      <c r="K610">
        <v>35.1327</v>
      </c>
      <c r="L610">
        <v>63.833300000000001</v>
      </c>
      <c r="M610">
        <v>7.5835290000000004</v>
      </c>
      <c r="N610">
        <v>2352</v>
      </c>
      <c r="O610">
        <v>3788</v>
      </c>
      <c r="P610">
        <v>6140</v>
      </c>
    </row>
    <row r="611" spans="1:16" x14ac:dyDescent="0.3">
      <c r="A611">
        <v>610</v>
      </c>
      <c r="B611" s="1">
        <v>43505</v>
      </c>
      <c r="C611">
        <v>3</v>
      </c>
      <c r="D611">
        <v>1</v>
      </c>
      <c r="E611">
        <v>9</v>
      </c>
      <c r="F611">
        <v>0</v>
      </c>
      <c r="G611">
        <v>0</v>
      </c>
      <c r="H611">
        <v>0</v>
      </c>
      <c r="I611">
        <v>2</v>
      </c>
      <c r="J611">
        <v>28.563347</v>
      </c>
      <c r="K611">
        <v>32.450000000000003</v>
      </c>
      <c r="L611">
        <v>81.5</v>
      </c>
      <c r="M611">
        <v>4.2927435999999997</v>
      </c>
      <c r="N611">
        <v>2613</v>
      </c>
      <c r="O611">
        <v>3197</v>
      </c>
      <c r="P611">
        <v>5810</v>
      </c>
    </row>
    <row r="612" spans="1:16" x14ac:dyDescent="0.3">
      <c r="A612">
        <v>611</v>
      </c>
      <c r="B612" s="1">
        <v>43533</v>
      </c>
      <c r="C612">
        <v>3</v>
      </c>
      <c r="D612">
        <v>1</v>
      </c>
      <c r="E612">
        <v>9</v>
      </c>
      <c r="F612">
        <v>1</v>
      </c>
      <c r="G612">
        <v>1</v>
      </c>
      <c r="H612">
        <v>0</v>
      </c>
      <c r="I612">
        <v>1</v>
      </c>
      <c r="J612">
        <v>29.0075</v>
      </c>
      <c r="K612">
        <v>33.081449999999997</v>
      </c>
      <c r="L612">
        <v>79.083299999999994</v>
      </c>
      <c r="M612">
        <v>10.125107</v>
      </c>
      <c r="N612">
        <v>1965</v>
      </c>
      <c r="O612">
        <v>4069</v>
      </c>
      <c r="P612">
        <v>6034</v>
      </c>
    </row>
    <row r="613" spans="1:16" x14ac:dyDescent="0.3">
      <c r="A613">
        <v>612</v>
      </c>
      <c r="B613" s="1">
        <v>43564</v>
      </c>
      <c r="C613">
        <v>3</v>
      </c>
      <c r="D613">
        <v>1</v>
      </c>
      <c r="E613">
        <v>9</v>
      </c>
      <c r="F613">
        <v>0</v>
      </c>
      <c r="G613">
        <v>2</v>
      </c>
      <c r="H613">
        <v>1</v>
      </c>
      <c r="I613">
        <v>1</v>
      </c>
      <c r="J613">
        <v>29.759153000000001</v>
      </c>
      <c r="K613">
        <v>34.3444</v>
      </c>
      <c r="L613">
        <v>75.5</v>
      </c>
      <c r="M613">
        <v>15.833507000000001</v>
      </c>
      <c r="N613">
        <v>867</v>
      </c>
      <c r="O613">
        <v>5997</v>
      </c>
      <c r="P613">
        <v>6864</v>
      </c>
    </row>
    <row r="614" spans="1:16" x14ac:dyDescent="0.3">
      <c r="A614">
        <v>613</v>
      </c>
      <c r="B614" s="1">
        <v>43594</v>
      </c>
      <c r="C614">
        <v>3</v>
      </c>
      <c r="D614">
        <v>1</v>
      </c>
      <c r="E614">
        <v>9</v>
      </c>
      <c r="F614">
        <v>0</v>
      </c>
      <c r="G614">
        <v>3</v>
      </c>
      <c r="H614">
        <v>1</v>
      </c>
      <c r="I614">
        <v>1</v>
      </c>
      <c r="J614">
        <v>30.203347000000001</v>
      </c>
      <c r="K614">
        <v>35.449150000000003</v>
      </c>
      <c r="L614">
        <v>74.125</v>
      </c>
      <c r="M614">
        <v>12.583136</v>
      </c>
      <c r="N614">
        <v>832</v>
      </c>
      <c r="O614">
        <v>6280</v>
      </c>
      <c r="P614">
        <v>7112</v>
      </c>
    </row>
    <row r="615" spans="1:16" x14ac:dyDescent="0.3">
      <c r="A615">
        <v>614</v>
      </c>
      <c r="B615" s="1">
        <v>43625</v>
      </c>
      <c r="C615">
        <v>3</v>
      </c>
      <c r="D615">
        <v>1</v>
      </c>
      <c r="E615">
        <v>9</v>
      </c>
      <c r="F615">
        <v>0</v>
      </c>
      <c r="G615">
        <v>4</v>
      </c>
      <c r="H615">
        <v>1</v>
      </c>
      <c r="I615">
        <v>2</v>
      </c>
      <c r="J615">
        <v>28.563347</v>
      </c>
      <c r="K615">
        <v>32.766449999999999</v>
      </c>
      <c r="L615">
        <v>81.041700000000006</v>
      </c>
      <c r="M615">
        <v>9.5422069999999994</v>
      </c>
      <c r="N615">
        <v>611</v>
      </c>
      <c r="O615">
        <v>5592</v>
      </c>
      <c r="P615">
        <v>6203</v>
      </c>
    </row>
    <row r="616" spans="1:16" x14ac:dyDescent="0.3">
      <c r="A616">
        <v>615</v>
      </c>
      <c r="B616" s="1">
        <v>43655</v>
      </c>
      <c r="C616">
        <v>3</v>
      </c>
      <c r="D616">
        <v>1</v>
      </c>
      <c r="E616">
        <v>9</v>
      </c>
      <c r="F616">
        <v>0</v>
      </c>
      <c r="G616">
        <v>5</v>
      </c>
      <c r="H616">
        <v>1</v>
      </c>
      <c r="I616">
        <v>1</v>
      </c>
      <c r="J616">
        <v>28.836652999999998</v>
      </c>
      <c r="K616">
        <v>32.860199999999999</v>
      </c>
      <c r="L616">
        <v>73.625</v>
      </c>
      <c r="M616">
        <v>11.500282</v>
      </c>
      <c r="N616">
        <v>1045</v>
      </c>
      <c r="O616">
        <v>6459</v>
      </c>
      <c r="P616">
        <v>7504</v>
      </c>
    </row>
    <row r="617" spans="1:16" x14ac:dyDescent="0.3">
      <c r="A617">
        <v>616</v>
      </c>
      <c r="B617" s="1">
        <v>43686</v>
      </c>
      <c r="C617">
        <v>3</v>
      </c>
      <c r="D617">
        <v>1</v>
      </c>
      <c r="E617">
        <v>9</v>
      </c>
      <c r="F617">
        <v>0</v>
      </c>
      <c r="G617">
        <v>6</v>
      </c>
      <c r="H617">
        <v>0</v>
      </c>
      <c r="I617">
        <v>2</v>
      </c>
      <c r="J617">
        <v>27.025846999999999</v>
      </c>
      <c r="K617">
        <v>30.556049999999999</v>
      </c>
      <c r="L617">
        <v>79.916700000000006</v>
      </c>
      <c r="M617">
        <v>18.833967999999999</v>
      </c>
      <c r="N617">
        <v>1557</v>
      </c>
      <c r="O617">
        <v>4419</v>
      </c>
      <c r="P617">
        <v>5976</v>
      </c>
    </row>
    <row r="618" spans="1:16" x14ac:dyDescent="0.3">
      <c r="A618">
        <v>617</v>
      </c>
      <c r="B618" s="1">
        <v>43717</v>
      </c>
      <c r="C618">
        <v>3</v>
      </c>
      <c r="D618">
        <v>1</v>
      </c>
      <c r="E618">
        <v>9</v>
      </c>
      <c r="F618">
        <v>0</v>
      </c>
      <c r="G618">
        <v>0</v>
      </c>
      <c r="H618">
        <v>0</v>
      </c>
      <c r="I618">
        <v>1</v>
      </c>
      <c r="J618">
        <v>25.01</v>
      </c>
      <c r="K618">
        <v>28.946249999999999</v>
      </c>
      <c r="L618">
        <v>54.75</v>
      </c>
      <c r="M618">
        <v>15.041232000000001</v>
      </c>
      <c r="N618">
        <v>2570</v>
      </c>
      <c r="O618">
        <v>5657</v>
      </c>
      <c r="P618">
        <v>8227</v>
      </c>
    </row>
    <row r="619" spans="1:16" x14ac:dyDescent="0.3">
      <c r="A619">
        <v>618</v>
      </c>
      <c r="B619" s="1">
        <v>43747</v>
      </c>
      <c r="C619">
        <v>3</v>
      </c>
      <c r="D619">
        <v>1</v>
      </c>
      <c r="E619">
        <v>9</v>
      </c>
      <c r="F619">
        <v>0</v>
      </c>
      <c r="G619">
        <v>1</v>
      </c>
      <c r="H619">
        <v>1</v>
      </c>
      <c r="I619">
        <v>1</v>
      </c>
      <c r="J619">
        <v>23.916653</v>
      </c>
      <c r="K619">
        <v>28.282699999999998</v>
      </c>
      <c r="L619">
        <v>50.375</v>
      </c>
      <c r="M619">
        <v>17.333770999999999</v>
      </c>
      <c r="N619">
        <v>1118</v>
      </c>
      <c r="O619">
        <v>6407</v>
      </c>
      <c r="P619">
        <v>7525</v>
      </c>
    </row>
    <row r="620" spans="1:16" x14ac:dyDescent="0.3">
      <c r="A620">
        <v>619</v>
      </c>
      <c r="B620" s="1">
        <v>43778</v>
      </c>
      <c r="C620">
        <v>3</v>
      </c>
      <c r="D620">
        <v>1</v>
      </c>
      <c r="E620">
        <v>9</v>
      </c>
      <c r="F620">
        <v>0</v>
      </c>
      <c r="G620">
        <v>2</v>
      </c>
      <c r="H620">
        <v>1</v>
      </c>
      <c r="I620">
        <v>1</v>
      </c>
      <c r="J620">
        <v>23.677499999999998</v>
      </c>
      <c r="K620">
        <v>27.714600000000001</v>
      </c>
      <c r="L620">
        <v>52</v>
      </c>
      <c r="M620">
        <v>6.1676314000000003</v>
      </c>
      <c r="N620">
        <v>1070</v>
      </c>
      <c r="O620">
        <v>6697</v>
      </c>
      <c r="P620">
        <v>7767</v>
      </c>
    </row>
    <row r="621" spans="1:16" x14ac:dyDescent="0.3">
      <c r="A621">
        <v>620</v>
      </c>
      <c r="B621" s="1">
        <v>43808</v>
      </c>
      <c r="C621">
        <v>3</v>
      </c>
      <c r="D621">
        <v>1</v>
      </c>
      <c r="E621">
        <v>9</v>
      </c>
      <c r="F621">
        <v>0</v>
      </c>
      <c r="G621">
        <v>3</v>
      </c>
      <c r="H621">
        <v>1</v>
      </c>
      <c r="I621">
        <v>1</v>
      </c>
      <c r="J621">
        <v>24.565847000000002</v>
      </c>
      <c r="K621">
        <v>28.50375</v>
      </c>
      <c r="L621">
        <v>57.708300000000001</v>
      </c>
      <c r="M621">
        <v>8.8336819999999996</v>
      </c>
      <c r="N621">
        <v>1050</v>
      </c>
      <c r="O621">
        <v>6820</v>
      </c>
      <c r="P621">
        <v>7870</v>
      </c>
    </row>
    <row r="622" spans="1:16" x14ac:dyDescent="0.3">
      <c r="A622">
        <v>621</v>
      </c>
      <c r="B622" t="s">
        <v>384</v>
      </c>
      <c r="C622">
        <v>3</v>
      </c>
      <c r="D622">
        <v>1</v>
      </c>
      <c r="E622">
        <v>9</v>
      </c>
      <c r="F622">
        <v>0</v>
      </c>
      <c r="G622">
        <v>4</v>
      </c>
      <c r="H622">
        <v>1</v>
      </c>
      <c r="I622">
        <v>1</v>
      </c>
      <c r="J622">
        <v>25.112500000000001</v>
      </c>
      <c r="K622">
        <v>28.977900000000002</v>
      </c>
      <c r="L622">
        <v>63.708300000000001</v>
      </c>
      <c r="M622">
        <v>5.5422935999999998</v>
      </c>
      <c r="N622">
        <v>1054</v>
      </c>
      <c r="O622">
        <v>6750</v>
      </c>
      <c r="P622">
        <v>7804</v>
      </c>
    </row>
    <row r="623" spans="1:16" x14ac:dyDescent="0.3">
      <c r="A623">
        <v>622</v>
      </c>
      <c r="B623" t="s">
        <v>385</v>
      </c>
      <c r="C623">
        <v>3</v>
      </c>
      <c r="D623">
        <v>1</v>
      </c>
      <c r="E623">
        <v>9</v>
      </c>
      <c r="F623">
        <v>0</v>
      </c>
      <c r="G623">
        <v>5</v>
      </c>
      <c r="H623">
        <v>1</v>
      </c>
      <c r="I623">
        <v>1</v>
      </c>
      <c r="J623">
        <v>25.966653000000001</v>
      </c>
      <c r="K623">
        <v>29.704149999999998</v>
      </c>
      <c r="L623">
        <v>67.25</v>
      </c>
      <c r="M623">
        <v>6.9588210000000004</v>
      </c>
      <c r="N623">
        <v>1379</v>
      </c>
      <c r="O623">
        <v>6630</v>
      </c>
      <c r="P623">
        <v>8009</v>
      </c>
    </row>
    <row r="624" spans="1:16" x14ac:dyDescent="0.3">
      <c r="A624">
        <v>623</v>
      </c>
      <c r="B624" t="s">
        <v>386</v>
      </c>
      <c r="C624">
        <v>3</v>
      </c>
      <c r="D624">
        <v>1</v>
      </c>
      <c r="E624">
        <v>9</v>
      </c>
      <c r="F624">
        <v>0</v>
      </c>
      <c r="G624">
        <v>6</v>
      </c>
      <c r="H624">
        <v>0</v>
      </c>
      <c r="I624">
        <v>1</v>
      </c>
      <c r="J624">
        <v>24.941652999999999</v>
      </c>
      <c r="K624">
        <v>29.29335</v>
      </c>
      <c r="L624">
        <v>50.166699999999999</v>
      </c>
      <c r="M624">
        <v>16.583907</v>
      </c>
      <c r="N624">
        <v>3160</v>
      </c>
      <c r="O624">
        <v>5554</v>
      </c>
      <c r="P624">
        <v>8714</v>
      </c>
    </row>
    <row r="625" spans="1:16" x14ac:dyDescent="0.3">
      <c r="A625">
        <v>624</v>
      </c>
      <c r="B625" t="s">
        <v>387</v>
      </c>
      <c r="C625">
        <v>3</v>
      </c>
      <c r="D625">
        <v>1</v>
      </c>
      <c r="E625">
        <v>9</v>
      </c>
      <c r="F625">
        <v>0</v>
      </c>
      <c r="G625">
        <v>0</v>
      </c>
      <c r="H625">
        <v>0</v>
      </c>
      <c r="I625">
        <v>1</v>
      </c>
      <c r="J625">
        <v>23.78</v>
      </c>
      <c r="K625">
        <v>28.15625</v>
      </c>
      <c r="L625">
        <v>57</v>
      </c>
      <c r="M625">
        <v>6.0422811000000003</v>
      </c>
      <c r="N625">
        <v>2166</v>
      </c>
      <c r="O625">
        <v>5167</v>
      </c>
      <c r="P625">
        <v>7333</v>
      </c>
    </row>
    <row r="626" spans="1:16" x14ac:dyDescent="0.3">
      <c r="A626">
        <v>625</v>
      </c>
      <c r="B626" t="s">
        <v>388</v>
      </c>
      <c r="C626">
        <v>3</v>
      </c>
      <c r="D626">
        <v>1</v>
      </c>
      <c r="E626">
        <v>9</v>
      </c>
      <c r="F626">
        <v>0</v>
      </c>
      <c r="G626">
        <v>1</v>
      </c>
      <c r="H626">
        <v>1</v>
      </c>
      <c r="I626">
        <v>2</v>
      </c>
      <c r="J626">
        <v>23.814153000000001</v>
      </c>
      <c r="K626">
        <v>27.6525</v>
      </c>
      <c r="L626">
        <v>73.458299999999994</v>
      </c>
      <c r="M626">
        <v>10.166714000000001</v>
      </c>
      <c r="N626">
        <v>1022</v>
      </c>
      <c r="O626">
        <v>5847</v>
      </c>
      <c r="P626">
        <v>6869</v>
      </c>
    </row>
    <row r="627" spans="1:16" x14ac:dyDescent="0.3">
      <c r="A627">
        <v>626</v>
      </c>
      <c r="B627" t="s">
        <v>389</v>
      </c>
      <c r="C627">
        <v>3</v>
      </c>
      <c r="D627">
        <v>1</v>
      </c>
      <c r="E627">
        <v>9</v>
      </c>
      <c r="F627">
        <v>0</v>
      </c>
      <c r="G627">
        <v>2</v>
      </c>
      <c r="H627">
        <v>1</v>
      </c>
      <c r="I627">
        <v>2</v>
      </c>
      <c r="J627">
        <v>25.556653000000001</v>
      </c>
      <c r="K627">
        <v>28.253350000000001</v>
      </c>
      <c r="L627">
        <v>87.25</v>
      </c>
      <c r="M627">
        <v>23.958328999999999</v>
      </c>
      <c r="N627">
        <v>371</v>
      </c>
      <c r="O627">
        <v>3702</v>
      </c>
      <c r="P627">
        <v>4073</v>
      </c>
    </row>
    <row r="628" spans="1:16" x14ac:dyDescent="0.3">
      <c r="A628">
        <v>627</v>
      </c>
      <c r="B628" t="s">
        <v>390</v>
      </c>
      <c r="C628">
        <v>3</v>
      </c>
      <c r="D628">
        <v>1</v>
      </c>
      <c r="E628">
        <v>9</v>
      </c>
      <c r="F628">
        <v>0</v>
      </c>
      <c r="G628">
        <v>3</v>
      </c>
      <c r="H628">
        <v>1</v>
      </c>
      <c r="I628">
        <v>1</v>
      </c>
      <c r="J628">
        <v>22.6525</v>
      </c>
      <c r="K628">
        <v>27.020199999999999</v>
      </c>
      <c r="L628">
        <v>53.666699999999999</v>
      </c>
      <c r="M628">
        <v>14.416725</v>
      </c>
      <c r="N628">
        <v>788</v>
      </c>
      <c r="O628">
        <v>6803</v>
      </c>
      <c r="P628">
        <v>7591</v>
      </c>
    </row>
    <row r="629" spans="1:16" x14ac:dyDescent="0.3">
      <c r="A629">
        <v>628</v>
      </c>
      <c r="B629" t="s">
        <v>391</v>
      </c>
      <c r="C629">
        <v>3</v>
      </c>
      <c r="D629">
        <v>1</v>
      </c>
      <c r="E629">
        <v>9</v>
      </c>
      <c r="F629">
        <v>0</v>
      </c>
      <c r="G629">
        <v>4</v>
      </c>
      <c r="H629">
        <v>1</v>
      </c>
      <c r="I629">
        <v>1</v>
      </c>
      <c r="J629">
        <v>22.413347000000002</v>
      </c>
      <c r="K629">
        <v>26.6096</v>
      </c>
      <c r="L629">
        <v>61.833300000000001</v>
      </c>
      <c r="M629">
        <v>7.9171889999999996</v>
      </c>
      <c r="N629">
        <v>939</v>
      </c>
      <c r="O629">
        <v>6781</v>
      </c>
      <c r="P629">
        <v>7720</v>
      </c>
    </row>
    <row r="630" spans="1:16" x14ac:dyDescent="0.3">
      <c r="A630">
        <v>629</v>
      </c>
      <c r="B630" t="s">
        <v>392</v>
      </c>
      <c r="C630">
        <v>3</v>
      </c>
      <c r="D630">
        <v>1</v>
      </c>
      <c r="E630">
        <v>9</v>
      </c>
      <c r="F630">
        <v>0</v>
      </c>
      <c r="G630">
        <v>5</v>
      </c>
      <c r="H630">
        <v>1</v>
      </c>
      <c r="I630">
        <v>1</v>
      </c>
      <c r="J630">
        <v>24.565847000000002</v>
      </c>
      <c r="K630">
        <v>28.598549999999999</v>
      </c>
      <c r="L630">
        <v>66.875</v>
      </c>
      <c r="M630">
        <v>10.333342999999999</v>
      </c>
      <c r="N630">
        <v>1250</v>
      </c>
      <c r="O630">
        <v>6917</v>
      </c>
      <c r="P630">
        <v>8167</v>
      </c>
    </row>
    <row r="631" spans="1:16" x14ac:dyDescent="0.3">
      <c r="A631">
        <v>630</v>
      </c>
      <c r="B631" t="s">
        <v>393</v>
      </c>
      <c r="C631">
        <v>3</v>
      </c>
      <c r="D631">
        <v>1</v>
      </c>
      <c r="E631">
        <v>9</v>
      </c>
      <c r="F631">
        <v>0</v>
      </c>
      <c r="G631">
        <v>6</v>
      </c>
      <c r="H631">
        <v>0</v>
      </c>
      <c r="I631">
        <v>1</v>
      </c>
      <c r="J631">
        <v>26.65</v>
      </c>
      <c r="K631">
        <v>30.5244</v>
      </c>
      <c r="L631">
        <v>64.666700000000006</v>
      </c>
      <c r="M631">
        <v>19.000060999999999</v>
      </c>
      <c r="N631">
        <v>2512</v>
      </c>
      <c r="O631">
        <v>5883</v>
      </c>
      <c r="P631">
        <v>8395</v>
      </c>
    </row>
    <row r="632" spans="1:16" x14ac:dyDescent="0.3">
      <c r="A632">
        <v>631</v>
      </c>
      <c r="B632" t="s">
        <v>394</v>
      </c>
      <c r="C632">
        <v>4</v>
      </c>
      <c r="D632">
        <v>1</v>
      </c>
      <c r="E632">
        <v>9</v>
      </c>
      <c r="F632">
        <v>0</v>
      </c>
      <c r="G632">
        <v>0</v>
      </c>
      <c r="H632">
        <v>0</v>
      </c>
      <c r="I632">
        <v>1</v>
      </c>
      <c r="J632">
        <v>21.695847000000001</v>
      </c>
      <c r="K632">
        <v>25.946650000000002</v>
      </c>
      <c r="L632">
        <v>46.708300000000001</v>
      </c>
      <c r="M632">
        <v>14.958285999999999</v>
      </c>
      <c r="N632">
        <v>2454</v>
      </c>
      <c r="O632">
        <v>5453</v>
      </c>
      <c r="P632">
        <v>7907</v>
      </c>
    </row>
    <row r="633" spans="1:16" x14ac:dyDescent="0.3">
      <c r="A633">
        <v>632</v>
      </c>
      <c r="B633" t="s">
        <v>395</v>
      </c>
      <c r="C633">
        <v>4</v>
      </c>
      <c r="D633">
        <v>1</v>
      </c>
      <c r="E633">
        <v>9</v>
      </c>
      <c r="F633">
        <v>0</v>
      </c>
      <c r="G633">
        <v>1</v>
      </c>
      <c r="H633">
        <v>1</v>
      </c>
      <c r="I633">
        <v>1</v>
      </c>
      <c r="J633">
        <v>21.080846999999999</v>
      </c>
      <c r="K633">
        <v>25.12565</v>
      </c>
      <c r="L633">
        <v>49.291699999999999</v>
      </c>
      <c r="M633">
        <v>9.5410679999999992</v>
      </c>
      <c r="N633">
        <v>1001</v>
      </c>
      <c r="O633">
        <v>6435</v>
      </c>
      <c r="P633">
        <v>7436</v>
      </c>
    </row>
    <row r="634" spans="1:16" x14ac:dyDescent="0.3">
      <c r="A634">
        <v>633</v>
      </c>
      <c r="B634" t="s">
        <v>396</v>
      </c>
      <c r="C634">
        <v>4</v>
      </c>
      <c r="D634">
        <v>1</v>
      </c>
      <c r="E634">
        <v>9</v>
      </c>
      <c r="F634">
        <v>0</v>
      </c>
      <c r="G634">
        <v>2</v>
      </c>
      <c r="H634">
        <v>1</v>
      </c>
      <c r="I634">
        <v>1</v>
      </c>
      <c r="J634">
        <v>22.55</v>
      </c>
      <c r="K634">
        <v>27.208950000000002</v>
      </c>
      <c r="L634">
        <v>57</v>
      </c>
      <c r="M634">
        <v>15.833507000000001</v>
      </c>
      <c r="N634">
        <v>845</v>
      </c>
      <c r="O634">
        <v>6693</v>
      </c>
      <c r="P634">
        <v>7538</v>
      </c>
    </row>
    <row r="635" spans="1:16" x14ac:dyDescent="0.3">
      <c r="A635">
        <v>634</v>
      </c>
      <c r="B635" t="s">
        <v>397</v>
      </c>
      <c r="C635">
        <v>4</v>
      </c>
      <c r="D635">
        <v>1</v>
      </c>
      <c r="E635">
        <v>9</v>
      </c>
      <c r="F635">
        <v>0</v>
      </c>
      <c r="G635">
        <v>3</v>
      </c>
      <c r="H635">
        <v>1</v>
      </c>
      <c r="I635">
        <v>1</v>
      </c>
      <c r="J635">
        <v>26.035</v>
      </c>
      <c r="K635">
        <v>29.830649999999999</v>
      </c>
      <c r="L635">
        <v>63.083300000000001</v>
      </c>
      <c r="M635">
        <v>16.3748</v>
      </c>
      <c r="N635">
        <v>787</v>
      </c>
      <c r="O635">
        <v>6946</v>
      </c>
      <c r="P635">
        <v>7733</v>
      </c>
    </row>
    <row r="636" spans="1:16" x14ac:dyDescent="0.3">
      <c r="A636">
        <v>635</v>
      </c>
      <c r="B636" t="s">
        <v>398</v>
      </c>
      <c r="C636">
        <v>4</v>
      </c>
      <c r="D636">
        <v>1</v>
      </c>
      <c r="E636">
        <v>9</v>
      </c>
      <c r="F636">
        <v>0</v>
      </c>
      <c r="G636">
        <v>4</v>
      </c>
      <c r="H636">
        <v>1</v>
      </c>
      <c r="I636">
        <v>2</v>
      </c>
      <c r="J636">
        <v>26.65</v>
      </c>
      <c r="K636">
        <v>30.39875</v>
      </c>
      <c r="L636">
        <v>69.083299999999994</v>
      </c>
      <c r="M636">
        <v>9.0009139999999999</v>
      </c>
      <c r="N636">
        <v>751</v>
      </c>
      <c r="O636">
        <v>6642</v>
      </c>
      <c r="P636">
        <v>7393</v>
      </c>
    </row>
    <row r="637" spans="1:16" x14ac:dyDescent="0.3">
      <c r="A637">
        <v>636</v>
      </c>
      <c r="B637" t="s">
        <v>399</v>
      </c>
      <c r="C637">
        <v>4</v>
      </c>
      <c r="D637">
        <v>1</v>
      </c>
      <c r="E637">
        <v>9</v>
      </c>
      <c r="F637">
        <v>0</v>
      </c>
      <c r="G637">
        <v>5</v>
      </c>
      <c r="H637">
        <v>1</v>
      </c>
      <c r="I637">
        <v>2</v>
      </c>
      <c r="J637">
        <v>25.385846999999998</v>
      </c>
      <c r="K637">
        <v>29.293150000000001</v>
      </c>
      <c r="L637">
        <v>69</v>
      </c>
      <c r="M637">
        <v>10.999993</v>
      </c>
      <c r="N637">
        <v>1045</v>
      </c>
      <c r="O637">
        <v>6370</v>
      </c>
      <c r="P637">
        <v>7415</v>
      </c>
    </row>
    <row r="638" spans="1:16" x14ac:dyDescent="0.3">
      <c r="A638">
        <v>637</v>
      </c>
      <c r="B638" t="s">
        <v>400</v>
      </c>
      <c r="C638">
        <v>4</v>
      </c>
      <c r="D638">
        <v>1</v>
      </c>
      <c r="E638">
        <v>9</v>
      </c>
      <c r="F638">
        <v>0</v>
      </c>
      <c r="G638">
        <v>6</v>
      </c>
      <c r="H638">
        <v>0</v>
      </c>
      <c r="I638">
        <v>1</v>
      </c>
      <c r="J638">
        <v>22.2425</v>
      </c>
      <c r="K638">
        <v>26.514800000000001</v>
      </c>
      <c r="L638">
        <v>54.291699999999999</v>
      </c>
      <c r="M638">
        <v>15.249468</v>
      </c>
      <c r="N638">
        <v>2589</v>
      </c>
      <c r="O638">
        <v>5966</v>
      </c>
      <c r="P638">
        <v>8555</v>
      </c>
    </row>
    <row r="639" spans="1:16" x14ac:dyDescent="0.3">
      <c r="A639">
        <v>638</v>
      </c>
      <c r="B639" t="s">
        <v>401</v>
      </c>
      <c r="C639">
        <v>4</v>
      </c>
      <c r="D639">
        <v>1</v>
      </c>
      <c r="E639">
        <v>9</v>
      </c>
      <c r="F639">
        <v>0</v>
      </c>
      <c r="G639">
        <v>0</v>
      </c>
      <c r="H639">
        <v>0</v>
      </c>
      <c r="I639">
        <v>1</v>
      </c>
      <c r="J639">
        <v>21.593347000000001</v>
      </c>
      <c r="K639">
        <v>25.883150000000001</v>
      </c>
      <c r="L639">
        <v>58.333300000000001</v>
      </c>
      <c r="M639">
        <v>9.0421859999999992</v>
      </c>
      <c r="N639">
        <v>2015</v>
      </c>
      <c r="O639">
        <v>4874</v>
      </c>
      <c r="P639">
        <v>6889</v>
      </c>
    </row>
    <row r="640" spans="1:16" x14ac:dyDescent="0.3">
      <c r="A640">
        <v>639</v>
      </c>
      <c r="B640" s="1">
        <v>43475</v>
      </c>
      <c r="C640">
        <v>4</v>
      </c>
      <c r="D640">
        <v>1</v>
      </c>
      <c r="E640">
        <v>10</v>
      </c>
      <c r="F640">
        <v>0</v>
      </c>
      <c r="G640">
        <v>1</v>
      </c>
      <c r="H640">
        <v>1</v>
      </c>
      <c r="I640">
        <v>2</v>
      </c>
      <c r="J640">
        <v>21.354153</v>
      </c>
      <c r="K640">
        <v>25.6</v>
      </c>
      <c r="L640">
        <v>64.916700000000006</v>
      </c>
      <c r="M640">
        <v>6.0838814000000001</v>
      </c>
      <c r="N640">
        <v>763</v>
      </c>
      <c r="O640">
        <v>6015</v>
      </c>
      <c r="P640">
        <v>6778</v>
      </c>
    </row>
    <row r="641" spans="1:16" x14ac:dyDescent="0.3">
      <c r="A641">
        <v>640</v>
      </c>
      <c r="B641" s="1">
        <v>43506</v>
      </c>
      <c r="C641">
        <v>4</v>
      </c>
      <c r="D641">
        <v>1</v>
      </c>
      <c r="E641">
        <v>10</v>
      </c>
      <c r="F641">
        <v>0</v>
      </c>
      <c r="G641">
        <v>2</v>
      </c>
      <c r="H641">
        <v>1</v>
      </c>
      <c r="I641">
        <v>3</v>
      </c>
      <c r="J641">
        <v>24.224153000000001</v>
      </c>
      <c r="K641">
        <v>27.11665</v>
      </c>
      <c r="L641">
        <v>87.166700000000006</v>
      </c>
      <c r="M641">
        <v>6.9998250000000004</v>
      </c>
      <c r="N641">
        <v>315</v>
      </c>
      <c r="O641">
        <v>4324</v>
      </c>
      <c r="P641">
        <v>4639</v>
      </c>
    </row>
    <row r="642" spans="1:16" x14ac:dyDescent="0.3">
      <c r="A642">
        <v>641</v>
      </c>
      <c r="B642" s="1">
        <v>43534</v>
      </c>
      <c r="C642">
        <v>4</v>
      </c>
      <c r="D642">
        <v>1</v>
      </c>
      <c r="E642">
        <v>10</v>
      </c>
      <c r="F642">
        <v>0</v>
      </c>
      <c r="G642">
        <v>3</v>
      </c>
      <c r="H642">
        <v>1</v>
      </c>
      <c r="I642">
        <v>2</v>
      </c>
      <c r="J642">
        <v>26.9575</v>
      </c>
      <c r="K642">
        <v>29.95665</v>
      </c>
      <c r="L642">
        <v>79.375</v>
      </c>
      <c r="M642">
        <v>4.4585686000000004</v>
      </c>
      <c r="N642">
        <v>728</v>
      </c>
      <c r="O642">
        <v>6844</v>
      </c>
      <c r="P642">
        <v>7572</v>
      </c>
    </row>
    <row r="643" spans="1:16" x14ac:dyDescent="0.3">
      <c r="A643">
        <v>642</v>
      </c>
      <c r="B643" s="1">
        <v>43565</v>
      </c>
      <c r="C643">
        <v>4</v>
      </c>
      <c r="D643">
        <v>1</v>
      </c>
      <c r="E643">
        <v>10</v>
      </c>
      <c r="F643">
        <v>0</v>
      </c>
      <c r="G643">
        <v>4</v>
      </c>
      <c r="H643">
        <v>1</v>
      </c>
      <c r="I643">
        <v>2</v>
      </c>
      <c r="J643">
        <v>26.9575</v>
      </c>
      <c r="K643">
        <v>30.39875</v>
      </c>
      <c r="L643">
        <v>72.291700000000006</v>
      </c>
      <c r="M643">
        <v>7.8755819999999996</v>
      </c>
      <c r="N643">
        <v>891</v>
      </c>
      <c r="O643">
        <v>6437</v>
      </c>
      <c r="P643">
        <v>7328</v>
      </c>
    </row>
    <row r="644" spans="1:16" x14ac:dyDescent="0.3">
      <c r="A644">
        <v>643</v>
      </c>
      <c r="B644" s="1">
        <v>43595</v>
      </c>
      <c r="C644">
        <v>4</v>
      </c>
      <c r="D644">
        <v>1</v>
      </c>
      <c r="E644">
        <v>10</v>
      </c>
      <c r="F644">
        <v>0</v>
      </c>
      <c r="G644">
        <v>5</v>
      </c>
      <c r="H644">
        <v>1</v>
      </c>
      <c r="I644">
        <v>1</v>
      </c>
      <c r="J644">
        <v>25.215</v>
      </c>
      <c r="K644">
        <v>29.009350000000001</v>
      </c>
      <c r="L644">
        <v>62.75</v>
      </c>
      <c r="M644">
        <v>7.1254499999999998</v>
      </c>
      <c r="N644">
        <v>1516</v>
      </c>
      <c r="O644">
        <v>6640</v>
      </c>
      <c r="P644">
        <v>8156</v>
      </c>
    </row>
    <row r="645" spans="1:16" x14ac:dyDescent="0.3">
      <c r="A645">
        <v>644</v>
      </c>
      <c r="B645" s="1">
        <v>43626</v>
      </c>
      <c r="C645">
        <v>4</v>
      </c>
      <c r="D645">
        <v>1</v>
      </c>
      <c r="E645">
        <v>10</v>
      </c>
      <c r="F645">
        <v>0</v>
      </c>
      <c r="G645">
        <v>6</v>
      </c>
      <c r="H645">
        <v>0</v>
      </c>
      <c r="I645">
        <v>1</v>
      </c>
      <c r="J645">
        <v>22.720846999999999</v>
      </c>
      <c r="K645">
        <v>26.92605</v>
      </c>
      <c r="L645">
        <v>66.416700000000006</v>
      </c>
      <c r="M645">
        <v>17.957674999999998</v>
      </c>
      <c r="N645">
        <v>3031</v>
      </c>
      <c r="O645">
        <v>4934</v>
      </c>
      <c r="P645">
        <v>7965</v>
      </c>
    </row>
    <row r="646" spans="1:16" x14ac:dyDescent="0.3">
      <c r="A646">
        <v>645</v>
      </c>
      <c r="B646" s="1">
        <v>43656</v>
      </c>
      <c r="C646">
        <v>4</v>
      </c>
      <c r="D646">
        <v>1</v>
      </c>
      <c r="E646">
        <v>10</v>
      </c>
      <c r="F646">
        <v>0</v>
      </c>
      <c r="G646">
        <v>0</v>
      </c>
      <c r="H646">
        <v>0</v>
      </c>
      <c r="I646">
        <v>2</v>
      </c>
      <c r="J646">
        <v>17.049153</v>
      </c>
      <c r="K646">
        <v>20.990649999999999</v>
      </c>
      <c r="L646">
        <v>70.833299999999994</v>
      </c>
      <c r="M646">
        <v>9.4578539999999993</v>
      </c>
      <c r="N646">
        <v>781</v>
      </c>
      <c r="O646">
        <v>2729</v>
      </c>
      <c r="P646">
        <v>3510</v>
      </c>
    </row>
    <row r="647" spans="1:16" x14ac:dyDescent="0.3">
      <c r="A647">
        <v>646</v>
      </c>
      <c r="B647" s="1">
        <v>43687</v>
      </c>
      <c r="C647">
        <v>4</v>
      </c>
      <c r="D647">
        <v>1</v>
      </c>
      <c r="E647">
        <v>10</v>
      </c>
      <c r="F647">
        <v>1</v>
      </c>
      <c r="G647">
        <v>1</v>
      </c>
      <c r="H647">
        <v>0</v>
      </c>
      <c r="I647">
        <v>2</v>
      </c>
      <c r="J647">
        <v>15.716653000000001</v>
      </c>
      <c r="K647">
        <v>19.380400000000002</v>
      </c>
      <c r="L647">
        <v>70.958299999999994</v>
      </c>
      <c r="M647">
        <v>12.708493000000001</v>
      </c>
      <c r="N647">
        <v>874</v>
      </c>
      <c r="O647">
        <v>4604</v>
      </c>
      <c r="P647">
        <v>5478</v>
      </c>
    </row>
    <row r="648" spans="1:16" x14ac:dyDescent="0.3">
      <c r="A648">
        <v>647</v>
      </c>
      <c r="B648" s="1">
        <v>43718</v>
      </c>
      <c r="C648">
        <v>4</v>
      </c>
      <c r="D648">
        <v>1</v>
      </c>
      <c r="E648">
        <v>10</v>
      </c>
      <c r="F648">
        <v>0</v>
      </c>
      <c r="G648">
        <v>2</v>
      </c>
      <c r="H648">
        <v>1</v>
      </c>
      <c r="I648">
        <v>2</v>
      </c>
      <c r="J648">
        <v>18.313347</v>
      </c>
      <c r="K648">
        <v>21.9056</v>
      </c>
      <c r="L648">
        <v>76.166700000000006</v>
      </c>
      <c r="M648">
        <v>12.7501</v>
      </c>
      <c r="N648">
        <v>601</v>
      </c>
      <c r="O648">
        <v>5791</v>
      </c>
      <c r="P648">
        <v>6392</v>
      </c>
    </row>
    <row r="649" spans="1:16" x14ac:dyDescent="0.3">
      <c r="A649">
        <v>648</v>
      </c>
      <c r="B649" s="1">
        <v>43748</v>
      </c>
      <c r="C649">
        <v>4</v>
      </c>
      <c r="D649">
        <v>1</v>
      </c>
      <c r="E649">
        <v>10</v>
      </c>
      <c r="F649">
        <v>0</v>
      </c>
      <c r="G649">
        <v>3</v>
      </c>
      <c r="H649">
        <v>1</v>
      </c>
      <c r="I649">
        <v>1</v>
      </c>
      <c r="J649">
        <v>21.080846999999999</v>
      </c>
      <c r="K649">
        <v>25.1571</v>
      </c>
      <c r="L649">
        <v>63.083300000000001</v>
      </c>
      <c r="M649">
        <v>12.584007</v>
      </c>
      <c r="N649">
        <v>780</v>
      </c>
      <c r="O649">
        <v>6911</v>
      </c>
      <c r="P649">
        <v>7691</v>
      </c>
    </row>
    <row r="650" spans="1:16" x14ac:dyDescent="0.3">
      <c r="A650">
        <v>649</v>
      </c>
      <c r="B650" s="1">
        <v>43779</v>
      </c>
      <c r="C650">
        <v>4</v>
      </c>
      <c r="D650">
        <v>1</v>
      </c>
      <c r="E650">
        <v>10</v>
      </c>
      <c r="F650">
        <v>0</v>
      </c>
      <c r="G650">
        <v>4</v>
      </c>
      <c r="H650">
        <v>1</v>
      </c>
      <c r="I650">
        <v>1</v>
      </c>
      <c r="J650">
        <v>17.835000000000001</v>
      </c>
      <c r="K650">
        <v>21.558350000000001</v>
      </c>
      <c r="L650">
        <v>46.333300000000001</v>
      </c>
      <c r="M650">
        <v>12.166931999999999</v>
      </c>
      <c r="N650">
        <v>834</v>
      </c>
      <c r="O650">
        <v>6736</v>
      </c>
      <c r="P650">
        <v>7570</v>
      </c>
    </row>
    <row r="651" spans="1:16" x14ac:dyDescent="0.3">
      <c r="A651">
        <v>650</v>
      </c>
      <c r="B651" s="1">
        <v>43809</v>
      </c>
      <c r="C651">
        <v>4</v>
      </c>
      <c r="D651">
        <v>1</v>
      </c>
      <c r="E651">
        <v>10</v>
      </c>
      <c r="F651">
        <v>0</v>
      </c>
      <c r="G651">
        <v>5</v>
      </c>
      <c r="H651">
        <v>1</v>
      </c>
      <c r="I651">
        <v>1</v>
      </c>
      <c r="J651">
        <v>17.9375</v>
      </c>
      <c r="K651">
        <v>21.653549999999999</v>
      </c>
      <c r="L651">
        <v>53.916699999999999</v>
      </c>
      <c r="M651">
        <v>15.751163999999999</v>
      </c>
      <c r="N651">
        <v>1060</v>
      </c>
      <c r="O651">
        <v>6222</v>
      </c>
      <c r="P651">
        <v>7282</v>
      </c>
    </row>
    <row r="652" spans="1:16" x14ac:dyDescent="0.3">
      <c r="A652">
        <v>651</v>
      </c>
      <c r="B652" t="s">
        <v>402</v>
      </c>
      <c r="C652">
        <v>4</v>
      </c>
      <c r="D652">
        <v>1</v>
      </c>
      <c r="E652">
        <v>10</v>
      </c>
      <c r="F652">
        <v>0</v>
      </c>
      <c r="G652">
        <v>6</v>
      </c>
      <c r="H652">
        <v>0</v>
      </c>
      <c r="I652">
        <v>1</v>
      </c>
      <c r="J652">
        <v>16.126653000000001</v>
      </c>
      <c r="K652">
        <v>19.569800000000001</v>
      </c>
      <c r="L652">
        <v>49.458300000000001</v>
      </c>
      <c r="M652">
        <v>9.7915139999999994</v>
      </c>
      <c r="N652">
        <v>2252</v>
      </c>
      <c r="O652">
        <v>4857</v>
      </c>
      <c r="P652">
        <v>7109</v>
      </c>
    </row>
    <row r="653" spans="1:16" x14ac:dyDescent="0.3">
      <c r="A653">
        <v>652</v>
      </c>
      <c r="B653" t="s">
        <v>403</v>
      </c>
      <c r="C653">
        <v>4</v>
      </c>
      <c r="D653">
        <v>1</v>
      </c>
      <c r="E653">
        <v>10</v>
      </c>
      <c r="F653">
        <v>0</v>
      </c>
      <c r="G653">
        <v>0</v>
      </c>
      <c r="H653">
        <v>0</v>
      </c>
      <c r="I653">
        <v>1</v>
      </c>
      <c r="J653">
        <v>21.388347</v>
      </c>
      <c r="K653">
        <v>25.4102</v>
      </c>
      <c r="L653">
        <v>64.041700000000006</v>
      </c>
      <c r="M653">
        <v>18.667003999999999</v>
      </c>
      <c r="N653">
        <v>2080</v>
      </c>
      <c r="O653">
        <v>4559</v>
      </c>
      <c r="P653">
        <v>6639</v>
      </c>
    </row>
    <row r="654" spans="1:16" x14ac:dyDescent="0.3">
      <c r="A654">
        <v>653</v>
      </c>
      <c r="B654" t="s">
        <v>404</v>
      </c>
      <c r="C654">
        <v>4</v>
      </c>
      <c r="D654">
        <v>1</v>
      </c>
      <c r="E654">
        <v>10</v>
      </c>
      <c r="F654">
        <v>0</v>
      </c>
      <c r="G654">
        <v>1</v>
      </c>
      <c r="H654">
        <v>1</v>
      </c>
      <c r="I654">
        <v>2</v>
      </c>
      <c r="J654">
        <v>23.028347</v>
      </c>
      <c r="K654">
        <v>26.9575</v>
      </c>
      <c r="L654">
        <v>70.75</v>
      </c>
      <c r="M654">
        <v>19.834479000000002</v>
      </c>
      <c r="N654">
        <v>760</v>
      </c>
      <c r="O654">
        <v>5115</v>
      </c>
      <c r="P654">
        <v>5875</v>
      </c>
    </row>
    <row r="655" spans="1:16" x14ac:dyDescent="0.3">
      <c r="A655">
        <v>654</v>
      </c>
      <c r="B655" t="s">
        <v>405</v>
      </c>
      <c r="C655">
        <v>4</v>
      </c>
      <c r="D655">
        <v>1</v>
      </c>
      <c r="E655">
        <v>10</v>
      </c>
      <c r="F655">
        <v>0</v>
      </c>
      <c r="G655">
        <v>2</v>
      </c>
      <c r="H655">
        <v>1</v>
      </c>
      <c r="I655">
        <v>1</v>
      </c>
      <c r="J655">
        <v>19.201653</v>
      </c>
      <c r="K655">
        <v>23.042300000000001</v>
      </c>
      <c r="L655">
        <v>55.833300000000001</v>
      </c>
      <c r="M655">
        <v>12.208807</v>
      </c>
      <c r="N655">
        <v>922</v>
      </c>
      <c r="O655">
        <v>6612</v>
      </c>
      <c r="P655">
        <v>7534</v>
      </c>
    </row>
    <row r="656" spans="1:16" x14ac:dyDescent="0.3">
      <c r="A656">
        <v>655</v>
      </c>
      <c r="B656" t="s">
        <v>406</v>
      </c>
      <c r="C656">
        <v>4</v>
      </c>
      <c r="D656">
        <v>1</v>
      </c>
      <c r="E656">
        <v>10</v>
      </c>
      <c r="F656">
        <v>0</v>
      </c>
      <c r="G656">
        <v>3</v>
      </c>
      <c r="H656">
        <v>1</v>
      </c>
      <c r="I656">
        <v>1</v>
      </c>
      <c r="J656">
        <v>18.689153000000001</v>
      </c>
      <c r="K656">
        <v>22.505400000000002</v>
      </c>
      <c r="L656">
        <v>69.291700000000006</v>
      </c>
      <c r="M656">
        <v>6.7918570000000003</v>
      </c>
      <c r="N656">
        <v>979</v>
      </c>
      <c r="O656">
        <v>6482</v>
      </c>
      <c r="P656">
        <v>7461</v>
      </c>
    </row>
    <row r="657" spans="1:16" x14ac:dyDescent="0.3">
      <c r="A657">
        <v>656</v>
      </c>
      <c r="B657" t="s">
        <v>407</v>
      </c>
      <c r="C657">
        <v>4</v>
      </c>
      <c r="D657">
        <v>1</v>
      </c>
      <c r="E657">
        <v>10</v>
      </c>
      <c r="F657">
        <v>0</v>
      </c>
      <c r="G657">
        <v>4</v>
      </c>
      <c r="H657">
        <v>1</v>
      </c>
      <c r="I657">
        <v>2</v>
      </c>
      <c r="J657">
        <v>21.422499999999999</v>
      </c>
      <c r="K657">
        <v>25.631250000000001</v>
      </c>
      <c r="L657">
        <v>72.833299999999994</v>
      </c>
      <c r="M657">
        <v>15.874779</v>
      </c>
      <c r="N657">
        <v>1008</v>
      </c>
      <c r="O657">
        <v>6501</v>
      </c>
      <c r="P657">
        <v>7509</v>
      </c>
    </row>
    <row r="658" spans="1:16" x14ac:dyDescent="0.3">
      <c r="A658">
        <v>657</v>
      </c>
      <c r="B658" t="s">
        <v>408</v>
      </c>
      <c r="C658">
        <v>4</v>
      </c>
      <c r="D658">
        <v>1</v>
      </c>
      <c r="E658">
        <v>10</v>
      </c>
      <c r="F658">
        <v>0</v>
      </c>
      <c r="G658">
        <v>5</v>
      </c>
      <c r="H658">
        <v>1</v>
      </c>
      <c r="I658">
        <v>2</v>
      </c>
      <c r="J658">
        <v>23.096653</v>
      </c>
      <c r="K658">
        <v>26.8948</v>
      </c>
      <c r="L658">
        <v>81.5</v>
      </c>
      <c r="M658">
        <v>9.0419180000000008</v>
      </c>
      <c r="N658">
        <v>753</v>
      </c>
      <c r="O658">
        <v>4671</v>
      </c>
      <c r="P658">
        <v>5424</v>
      </c>
    </row>
    <row r="659" spans="1:16" x14ac:dyDescent="0.3">
      <c r="A659">
        <v>658</v>
      </c>
      <c r="B659" t="s">
        <v>409</v>
      </c>
      <c r="C659">
        <v>4</v>
      </c>
      <c r="D659">
        <v>1</v>
      </c>
      <c r="E659">
        <v>10</v>
      </c>
      <c r="F659">
        <v>0</v>
      </c>
      <c r="G659">
        <v>6</v>
      </c>
      <c r="H659">
        <v>0</v>
      </c>
      <c r="I659">
        <v>1</v>
      </c>
      <c r="J659">
        <v>19.850847000000002</v>
      </c>
      <c r="K659">
        <v>23.642099999999999</v>
      </c>
      <c r="L659">
        <v>57.291699999999999</v>
      </c>
      <c r="M659">
        <v>7.8749789999999997</v>
      </c>
      <c r="N659">
        <v>2806</v>
      </c>
      <c r="O659">
        <v>5284</v>
      </c>
      <c r="P659">
        <v>8090</v>
      </c>
    </row>
    <row r="660" spans="1:16" x14ac:dyDescent="0.3">
      <c r="A660">
        <v>659</v>
      </c>
      <c r="B660" t="s">
        <v>410</v>
      </c>
      <c r="C660">
        <v>4</v>
      </c>
      <c r="D660">
        <v>1</v>
      </c>
      <c r="E660">
        <v>10</v>
      </c>
      <c r="F660">
        <v>0</v>
      </c>
      <c r="G660">
        <v>0</v>
      </c>
      <c r="H660">
        <v>0</v>
      </c>
      <c r="I660">
        <v>1</v>
      </c>
      <c r="J660">
        <v>19.030847000000001</v>
      </c>
      <c r="K660">
        <v>22.821449999999999</v>
      </c>
      <c r="L660">
        <v>51</v>
      </c>
      <c r="M660">
        <v>11.125617999999999</v>
      </c>
      <c r="N660">
        <v>2132</v>
      </c>
      <c r="O660">
        <v>4692</v>
      </c>
      <c r="P660">
        <v>6824</v>
      </c>
    </row>
    <row r="661" spans="1:16" x14ac:dyDescent="0.3">
      <c r="A661">
        <v>660</v>
      </c>
      <c r="B661" t="s">
        <v>411</v>
      </c>
      <c r="C661">
        <v>4</v>
      </c>
      <c r="D661">
        <v>1</v>
      </c>
      <c r="E661">
        <v>10</v>
      </c>
      <c r="F661">
        <v>0</v>
      </c>
      <c r="G661">
        <v>1</v>
      </c>
      <c r="H661">
        <v>1</v>
      </c>
      <c r="I661">
        <v>1</v>
      </c>
      <c r="J661">
        <v>19.987500000000001</v>
      </c>
      <c r="K661">
        <v>24.147099999999998</v>
      </c>
      <c r="L661">
        <v>56.833300000000001</v>
      </c>
      <c r="M661">
        <v>5.4593810999999999</v>
      </c>
      <c r="N661">
        <v>830</v>
      </c>
      <c r="O661">
        <v>6228</v>
      </c>
      <c r="P661">
        <v>7058</v>
      </c>
    </row>
    <row r="662" spans="1:16" x14ac:dyDescent="0.3">
      <c r="A662">
        <v>661</v>
      </c>
      <c r="B662" t="s">
        <v>412</v>
      </c>
      <c r="C662">
        <v>4</v>
      </c>
      <c r="D662">
        <v>1</v>
      </c>
      <c r="E662">
        <v>10</v>
      </c>
      <c r="F662">
        <v>0</v>
      </c>
      <c r="G662">
        <v>2</v>
      </c>
      <c r="H662">
        <v>1</v>
      </c>
      <c r="I662">
        <v>1</v>
      </c>
      <c r="J662">
        <v>22.310846999999999</v>
      </c>
      <c r="K662">
        <v>26.5152</v>
      </c>
      <c r="L662">
        <v>64.166700000000006</v>
      </c>
      <c r="M662">
        <v>6.3345685999999999</v>
      </c>
      <c r="N662">
        <v>841</v>
      </c>
      <c r="O662">
        <v>6625</v>
      </c>
      <c r="P662">
        <v>7466</v>
      </c>
    </row>
    <row r="663" spans="1:16" x14ac:dyDescent="0.3">
      <c r="A663">
        <v>662</v>
      </c>
      <c r="B663" t="s">
        <v>413</v>
      </c>
      <c r="C663">
        <v>4</v>
      </c>
      <c r="D663">
        <v>1</v>
      </c>
      <c r="E663">
        <v>10</v>
      </c>
      <c r="F663">
        <v>0</v>
      </c>
      <c r="G663">
        <v>3</v>
      </c>
      <c r="H663">
        <v>1</v>
      </c>
      <c r="I663">
        <v>1</v>
      </c>
      <c r="J663">
        <v>24.087499999999999</v>
      </c>
      <c r="K663">
        <v>27.936050000000002</v>
      </c>
      <c r="L663">
        <v>63.625</v>
      </c>
      <c r="M663">
        <v>4.8762064000000001</v>
      </c>
      <c r="N663">
        <v>795</v>
      </c>
      <c r="O663">
        <v>6898</v>
      </c>
      <c r="P663">
        <v>7693</v>
      </c>
    </row>
    <row r="664" spans="1:16" x14ac:dyDescent="0.3">
      <c r="A664">
        <v>663</v>
      </c>
      <c r="B664" t="s">
        <v>414</v>
      </c>
      <c r="C664">
        <v>4</v>
      </c>
      <c r="D664">
        <v>1</v>
      </c>
      <c r="E664">
        <v>10</v>
      </c>
      <c r="F664">
        <v>0</v>
      </c>
      <c r="G664">
        <v>4</v>
      </c>
      <c r="H664">
        <v>1</v>
      </c>
      <c r="I664">
        <v>2</v>
      </c>
      <c r="J664">
        <v>22.55</v>
      </c>
      <c r="K664">
        <v>26.484400000000001</v>
      </c>
      <c r="L664">
        <v>80.041700000000006</v>
      </c>
      <c r="M664">
        <v>8.3331250000000008</v>
      </c>
      <c r="N664">
        <v>875</v>
      </c>
      <c r="O664">
        <v>6484</v>
      </c>
      <c r="P664">
        <v>7359</v>
      </c>
    </row>
    <row r="665" spans="1:16" x14ac:dyDescent="0.3">
      <c r="A665">
        <v>664</v>
      </c>
      <c r="B665" t="s">
        <v>415</v>
      </c>
      <c r="C665">
        <v>4</v>
      </c>
      <c r="D665">
        <v>1</v>
      </c>
      <c r="E665">
        <v>10</v>
      </c>
      <c r="F665">
        <v>0</v>
      </c>
      <c r="G665">
        <v>5</v>
      </c>
      <c r="H665">
        <v>1</v>
      </c>
      <c r="I665">
        <v>2</v>
      </c>
      <c r="J665">
        <v>22.379152999999999</v>
      </c>
      <c r="K665">
        <v>26.137499999999999</v>
      </c>
      <c r="L665">
        <v>80.708299999999994</v>
      </c>
      <c r="M665">
        <v>8.8752890000000004</v>
      </c>
      <c r="N665">
        <v>1182</v>
      </c>
      <c r="O665">
        <v>6262</v>
      </c>
      <c r="P665">
        <v>7444</v>
      </c>
    </row>
    <row r="666" spans="1:16" x14ac:dyDescent="0.3">
      <c r="A666">
        <v>665</v>
      </c>
      <c r="B666" t="s">
        <v>416</v>
      </c>
      <c r="C666">
        <v>4</v>
      </c>
      <c r="D666">
        <v>1</v>
      </c>
      <c r="E666">
        <v>10</v>
      </c>
      <c r="F666">
        <v>0</v>
      </c>
      <c r="G666">
        <v>6</v>
      </c>
      <c r="H666">
        <v>0</v>
      </c>
      <c r="I666">
        <v>2</v>
      </c>
      <c r="J666">
        <v>21.73</v>
      </c>
      <c r="K666">
        <v>25.75665</v>
      </c>
      <c r="L666">
        <v>72</v>
      </c>
      <c r="M666">
        <v>15.791364</v>
      </c>
      <c r="N666">
        <v>2643</v>
      </c>
      <c r="O666">
        <v>5209</v>
      </c>
      <c r="P666">
        <v>7852</v>
      </c>
    </row>
    <row r="667" spans="1:16" x14ac:dyDescent="0.3">
      <c r="A667">
        <v>666</v>
      </c>
      <c r="B667" t="s">
        <v>417</v>
      </c>
      <c r="C667">
        <v>4</v>
      </c>
      <c r="D667">
        <v>1</v>
      </c>
      <c r="E667">
        <v>10</v>
      </c>
      <c r="F667">
        <v>0</v>
      </c>
      <c r="G667">
        <v>0</v>
      </c>
      <c r="H667">
        <v>0</v>
      </c>
      <c r="I667">
        <v>2</v>
      </c>
      <c r="J667">
        <v>19.577500000000001</v>
      </c>
      <c r="K667">
        <v>23.388549999999999</v>
      </c>
      <c r="L667">
        <v>69.458299999999994</v>
      </c>
      <c r="M667">
        <v>26.666536000000001</v>
      </c>
      <c r="N667">
        <v>998</v>
      </c>
      <c r="O667">
        <v>3461</v>
      </c>
      <c r="P667">
        <v>4459</v>
      </c>
    </row>
    <row r="668" spans="1:16" x14ac:dyDescent="0.3">
      <c r="A668">
        <v>667</v>
      </c>
      <c r="B668" t="s">
        <v>418</v>
      </c>
      <c r="C668">
        <v>4</v>
      </c>
      <c r="D668">
        <v>1</v>
      </c>
      <c r="E668">
        <v>10</v>
      </c>
      <c r="F668">
        <v>0</v>
      </c>
      <c r="G668">
        <v>1</v>
      </c>
      <c r="H668">
        <v>1</v>
      </c>
      <c r="I668">
        <v>3</v>
      </c>
      <c r="J668">
        <v>18.04</v>
      </c>
      <c r="K668">
        <v>21.97</v>
      </c>
      <c r="L668">
        <v>88</v>
      </c>
      <c r="M668">
        <v>23.999400000000001</v>
      </c>
      <c r="N668">
        <v>2</v>
      </c>
      <c r="O668">
        <v>20</v>
      </c>
      <c r="P668">
        <v>22</v>
      </c>
    </row>
    <row r="669" spans="1:16" x14ac:dyDescent="0.3">
      <c r="A669">
        <v>668</v>
      </c>
      <c r="B669" t="s">
        <v>419</v>
      </c>
      <c r="C669">
        <v>4</v>
      </c>
      <c r="D669">
        <v>1</v>
      </c>
      <c r="E669">
        <v>10</v>
      </c>
      <c r="F669">
        <v>0</v>
      </c>
      <c r="G669">
        <v>2</v>
      </c>
      <c r="H669">
        <v>1</v>
      </c>
      <c r="I669">
        <v>2</v>
      </c>
      <c r="J669">
        <v>13.045462000000001</v>
      </c>
      <c r="K669">
        <v>15.49545</v>
      </c>
      <c r="L669">
        <v>82.545500000000004</v>
      </c>
      <c r="M669">
        <v>14.271603000000001</v>
      </c>
      <c r="N669">
        <v>87</v>
      </c>
      <c r="O669">
        <v>1009</v>
      </c>
      <c r="P669">
        <v>1096</v>
      </c>
    </row>
    <row r="670" spans="1:16" x14ac:dyDescent="0.3">
      <c r="A670">
        <v>669</v>
      </c>
      <c r="B670" t="s">
        <v>420</v>
      </c>
      <c r="C670">
        <v>4</v>
      </c>
      <c r="D670">
        <v>1</v>
      </c>
      <c r="E670">
        <v>10</v>
      </c>
      <c r="F670">
        <v>0</v>
      </c>
      <c r="G670">
        <v>3</v>
      </c>
      <c r="H670">
        <v>1</v>
      </c>
      <c r="I670">
        <v>2</v>
      </c>
      <c r="J670">
        <v>14.657500000000001</v>
      </c>
      <c r="K670">
        <v>18.055</v>
      </c>
      <c r="L670">
        <v>66.666700000000006</v>
      </c>
      <c r="M670">
        <v>11.166689</v>
      </c>
      <c r="N670">
        <v>419</v>
      </c>
      <c r="O670">
        <v>5147</v>
      </c>
      <c r="P670">
        <v>5566</v>
      </c>
    </row>
    <row r="671" spans="1:16" x14ac:dyDescent="0.3">
      <c r="A671">
        <v>670</v>
      </c>
      <c r="B671" s="1">
        <v>43476</v>
      </c>
      <c r="C671">
        <v>4</v>
      </c>
      <c r="D671">
        <v>1</v>
      </c>
      <c r="E671">
        <v>11</v>
      </c>
      <c r="F671">
        <v>0</v>
      </c>
      <c r="G671">
        <v>4</v>
      </c>
      <c r="H671">
        <v>1</v>
      </c>
      <c r="I671">
        <v>2</v>
      </c>
      <c r="J671">
        <v>14.999153</v>
      </c>
      <c r="K671">
        <v>18.4971</v>
      </c>
      <c r="L671">
        <v>58.166699999999999</v>
      </c>
      <c r="M671">
        <v>10.542182</v>
      </c>
      <c r="N671">
        <v>466</v>
      </c>
      <c r="O671">
        <v>5520</v>
      </c>
      <c r="P671">
        <v>5986</v>
      </c>
    </row>
    <row r="672" spans="1:16" x14ac:dyDescent="0.3">
      <c r="A672">
        <v>671</v>
      </c>
      <c r="B672" s="1">
        <v>43507</v>
      </c>
      <c r="C672">
        <v>4</v>
      </c>
      <c r="D672">
        <v>1</v>
      </c>
      <c r="E672">
        <v>11</v>
      </c>
      <c r="F672">
        <v>0</v>
      </c>
      <c r="G672">
        <v>5</v>
      </c>
      <c r="H672">
        <v>1</v>
      </c>
      <c r="I672">
        <v>1</v>
      </c>
      <c r="J672">
        <v>14.555</v>
      </c>
      <c r="K672">
        <v>17.802099999999999</v>
      </c>
      <c r="L672">
        <v>52.208300000000001</v>
      </c>
      <c r="M672">
        <v>17.833725000000001</v>
      </c>
      <c r="N672">
        <v>618</v>
      </c>
      <c r="O672">
        <v>5229</v>
      </c>
      <c r="P672">
        <v>5847</v>
      </c>
    </row>
    <row r="673" spans="1:16" x14ac:dyDescent="0.3">
      <c r="A673">
        <v>672</v>
      </c>
      <c r="B673" s="1">
        <v>43535</v>
      </c>
      <c r="C673">
        <v>4</v>
      </c>
      <c r="D673">
        <v>1</v>
      </c>
      <c r="E673">
        <v>11</v>
      </c>
      <c r="F673">
        <v>0</v>
      </c>
      <c r="G673">
        <v>6</v>
      </c>
      <c r="H673">
        <v>0</v>
      </c>
      <c r="I673">
        <v>2</v>
      </c>
      <c r="J673">
        <v>14.076653</v>
      </c>
      <c r="K673">
        <v>16.192299999999999</v>
      </c>
      <c r="L673">
        <v>49.125</v>
      </c>
      <c r="M673">
        <v>18.125443000000001</v>
      </c>
      <c r="N673">
        <v>1029</v>
      </c>
      <c r="O673">
        <v>4109</v>
      </c>
      <c r="P673">
        <v>5138</v>
      </c>
    </row>
    <row r="674" spans="1:16" x14ac:dyDescent="0.3">
      <c r="A674">
        <v>673</v>
      </c>
      <c r="B674" s="1">
        <v>43566</v>
      </c>
      <c r="C674">
        <v>4</v>
      </c>
      <c r="D674">
        <v>1</v>
      </c>
      <c r="E674">
        <v>11</v>
      </c>
      <c r="F674">
        <v>0</v>
      </c>
      <c r="G674">
        <v>0</v>
      </c>
      <c r="H674">
        <v>0</v>
      </c>
      <c r="I674">
        <v>1</v>
      </c>
      <c r="J674">
        <v>13.359152999999999</v>
      </c>
      <c r="K674">
        <v>16.476900000000001</v>
      </c>
      <c r="L674">
        <v>53.291699999999999</v>
      </c>
      <c r="M674">
        <v>12.000235999999999</v>
      </c>
      <c r="N674">
        <v>1201</v>
      </c>
      <c r="O674">
        <v>3906</v>
      </c>
      <c r="P674">
        <v>5107</v>
      </c>
    </row>
    <row r="675" spans="1:16" x14ac:dyDescent="0.3">
      <c r="A675">
        <v>674</v>
      </c>
      <c r="B675" s="1">
        <v>43596</v>
      </c>
      <c r="C675">
        <v>4</v>
      </c>
      <c r="D675">
        <v>1</v>
      </c>
      <c r="E675">
        <v>11</v>
      </c>
      <c r="F675">
        <v>0</v>
      </c>
      <c r="G675">
        <v>1</v>
      </c>
      <c r="H675">
        <v>1</v>
      </c>
      <c r="I675">
        <v>1</v>
      </c>
      <c r="J675">
        <v>13.085846999999999</v>
      </c>
      <c r="K675">
        <v>15.40375</v>
      </c>
      <c r="L675">
        <v>49.416699999999999</v>
      </c>
      <c r="M675">
        <v>15.833774999999999</v>
      </c>
      <c r="N675">
        <v>378</v>
      </c>
      <c r="O675">
        <v>4881</v>
      </c>
      <c r="P675">
        <v>5259</v>
      </c>
    </row>
    <row r="676" spans="1:16" x14ac:dyDescent="0.3">
      <c r="A676">
        <v>675</v>
      </c>
      <c r="B676" s="1">
        <v>43627</v>
      </c>
      <c r="C676">
        <v>4</v>
      </c>
      <c r="D676">
        <v>1</v>
      </c>
      <c r="E676">
        <v>11</v>
      </c>
      <c r="F676">
        <v>0</v>
      </c>
      <c r="G676">
        <v>2</v>
      </c>
      <c r="H676">
        <v>1</v>
      </c>
      <c r="I676">
        <v>1</v>
      </c>
      <c r="J676">
        <v>11.514153</v>
      </c>
      <c r="K676">
        <v>14.07835</v>
      </c>
      <c r="L676">
        <v>56.708300000000001</v>
      </c>
      <c r="M676">
        <v>11.625370999999999</v>
      </c>
      <c r="N676">
        <v>466</v>
      </c>
      <c r="O676">
        <v>5220</v>
      </c>
      <c r="P676">
        <v>5686</v>
      </c>
    </row>
    <row r="677" spans="1:16" x14ac:dyDescent="0.3">
      <c r="A677">
        <v>676</v>
      </c>
      <c r="B677" s="1">
        <v>43657</v>
      </c>
      <c r="C677">
        <v>4</v>
      </c>
      <c r="D677">
        <v>1</v>
      </c>
      <c r="E677">
        <v>11</v>
      </c>
      <c r="F677">
        <v>0</v>
      </c>
      <c r="G677">
        <v>3</v>
      </c>
      <c r="H677">
        <v>1</v>
      </c>
      <c r="I677">
        <v>2</v>
      </c>
      <c r="J677">
        <v>12.129153000000001</v>
      </c>
      <c r="K677">
        <v>13.73105</v>
      </c>
      <c r="L677">
        <v>54.75</v>
      </c>
      <c r="M677">
        <v>20.375236000000001</v>
      </c>
      <c r="N677">
        <v>326</v>
      </c>
      <c r="O677">
        <v>4709</v>
      </c>
      <c r="P677">
        <v>5035</v>
      </c>
    </row>
    <row r="678" spans="1:16" x14ac:dyDescent="0.3">
      <c r="A678">
        <v>677</v>
      </c>
      <c r="B678" s="1">
        <v>43688</v>
      </c>
      <c r="C678">
        <v>4</v>
      </c>
      <c r="D678">
        <v>1</v>
      </c>
      <c r="E678">
        <v>11</v>
      </c>
      <c r="F678">
        <v>0</v>
      </c>
      <c r="G678">
        <v>4</v>
      </c>
      <c r="H678">
        <v>1</v>
      </c>
      <c r="I678">
        <v>1</v>
      </c>
      <c r="J678">
        <v>14.439133999999999</v>
      </c>
      <c r="K678">
        <v>17.094550000000002</v>
      </c>
      <c r="L678">
        <v>33.347799999999999</v>
      </c>
      <c r="M678">
        <v>23.304945</v>
      </c>
      <c r="N678">
        <v>340</v>
      </c>
      <c r="O678">
        <v>4975</v>
      </c>
      <c r="P678">
        <v>5315</v>
      </c>
    </row>
    <row r="679" spans="1:16" x14ac:dyDescent="0.3">
      <c r="A679">
        <v>678</v>
      </c>
      <c r="B679" s="1">
        <v>43719</v>
      </c>
      <c r="C679">
        <v>4</v>
      </c>
      <c r="D679">
        <v>1</v>
      </c>
      <c r="E679">
        <v>11</v>
      </c>
      <c r="F679">
        <v>0</v>
      </c>
      <c r="G679">
        <v>5</v>
      </c>
      <c r="H679">
        <v>1</v>
      </c>
      <c r="I679">
        <v>1</v>
      </c>
      <c r="J679">
        <v>14.828347000000001</v>
      </c>
      <c r="K679">
        <v>17.77065</v>
      </c>
      <c r="L679">
        <v>54.083300000000001</v>
      </c>
      <c r="M679">
        <v>14.375386000000001</v>
      </c>
      <c r="N679">
        <v>709</v>
      </c>
      <c r="O679">
        <v>5283</v>
      </c>
      <c r="P679">
        <v>5992</v>
      </c>
    </row>
    <row r="680" spans="1:16" x14ac:dyDescent="0.3">
      <c r="A680">
        <v>679</v>
      </c>
      <c r="B680" s="1">
        <v>43749</v>
      </c>
      <c r="C680">
        <v>4</v>
      </c>
      <c r="D680">
        <v>1</v>
      </c>
      <c r="E680">
        <v>11</v>
      </c>
      <c r="F680">
        <v>0</v>
      </c>
      <c r="G680">
        <v>6</v>
      </c>
      <c r="H680">
        <v>0</v>
      </c>
      <c r="I680">
        <v>1</v>
      </c>
      <c r="J680">
        <v>15.955847</v>
      </c>
      <c r="K680">
        <v>19.696850000000001</v>
      </c>
      <c r="L680">
        <v>64.541700000000006</v>
      </c>
      <c r="M680">
        <v>3.8756686</v>
      </c>
      <c r="N680">
        <v>2090</v>
      </c>
      <c r="O680">
        <v>4446</v>
      </c>
      <c r="P680">
        <v>6536</v>
      </c>
    </row>
    <row r="681" spans="1:16" x14ac:dyDescent="0.3">
      <c r="A681">
        <v>680</v>
      </c>
      <c r="B681" s="1">
        <v>43780</v>
      </c>
      <c r="C681">
        <v>4</v>
      </c>
      <c r="D681">
        <v>1</v>
      </c>
      <c r="E681">
        <v>11</v>
      </c>
      <c r="F681">
        <v>0</v>
      </c>
      <c r="G681">
        <v>0</v>
      </c>
      <c r="H681">
        <v>0</v>
      </c>
      <c r="I681">
        <v>1</v>
      </c>
      <c r="J681">
        <v>17.254152999999999</v>
      </c>
      <c r="K681">
        <v>21.085650000000001</v>
      </c>
      <c r="L681">
        <v>65.916700000000006</v>
      </c>
      <c r="M681">
        <v>8.5425000000000004</v>
      </c>
      <c r="N681">
        <v>2290</v>
      </c>
      <c r="O681">
        <v>4562</v>
      </c>
      <c r="P681">
        <v>6852</v>
      </c>
    </row>
    <row r="682" spans="1:16" x14ac:dyDescent="0.3">
      <c r="A682">
        <v>681</v>
      </c>
      <c r="B682" s="1">
        <v>43810</v>
      </c>
      <c r="C682">
        <v>4</v>
      </c>
      <c r="D682">
        <v>1</v>
      </c>
      <c r="E682">
        <v>11</v>
      </c>
      <c r="F682">
        <v>1</v>
      </c>
      <c r="G682">
        <v>1</v>
      </c>
      <c r="H682">
        <v>0</v>
      </c>
      <c r="I682">
        <v>1</v>
      </c>
      <c r="J682">
        <v>19.885000000000002</v>
      </c>
      <c r="K682">
        <v>23.76915</v>
      </c>
      <c r="L682">
        <v>74.166700000000006</v>
      </c>
      <c r="M682">
        <v>11.625639</v>
      </c>
      <c r="N682">
        <v>1097</v>
      </c>
      <c r="O682">
        <v>5172</v>
      </c>
      <c r="P682">
        <v>6269</v>
      </c>
    </row>
    <row r="683" spans="1:16" x14ac:dyDescent="0.3">
      <c r="A683">
        <v>682</v>
      </c>
      <c r="B683" t="s">
        <v>421</v>
      </c>
      <c r="C683">
        <v>4</v>
      </c>
      <c r="D683">
        <v>1</v>
      </c>
      <c r="E683">
        <v>11</v>
      </c>
      <c r="F683">
        <v>0</v>
      </c>
      <c r="G683">
        <v>2</v>
      </c>
      <c r="H683">
        <v>1</v>
      </c>
      <c r="I683">
        <v>2</v>
      </c>
      <c r="J683">
        <v>14.076653</v>
      </c>
      <c r="K683">
        <v>16.161249999999999</v>
      </c>
      <c r="L683">
        <v>66.291700000000006</v>
      </c>
      <c r="M683">
        <v>22.917082000000001</v>
      </c>
      <c r="N683">
        <v>327</v>
      </c>
      <c r="O683">
        <v>3767</v>
      </c>
      <c r="P683">
        <v>4094</v>
      </c>
    </row>
    <row r="684" spans="1:16" x14ac:dyDescent="0.3">
      <c r="A684">
        <v>683</v>
      </c>
      <c r="B684" t="s">
        <v>422</v>
      </c>
      <c r="C684">
        <v>4</v>
      </c>
      <c r="D684">
        <v>1</v>
      </c>
      <c r="E684">
        <v>11</v>
      </c>
      <c r="F684">
        <v>0</v>
      </c>
      <c r="G684">
        <v>3</v>
      </c>
      <c r="H684">
        <v>1</v>
      </c>
      <c r="I684">
        <v>1</v>
      </c>
      <c r="J684">
        <v>11.855847000000001</v>
      </c>
      <c r="K684">
        <v>14.078150000000001</v>
      </c>
      <c r="L684">
        <v>55.208300000000001</v>
      </c>
      <c r="M684">
        <v>13.374874999999999</v>
      </c>
      <c r="N684">
        <v>373</v>
      </c>
      <c r="O684">
        <v>5122</v>
      </c>
      <c r="P684">
        <v>5495</v>
      </c>
    </row>
    <row r="685" spans="1:16" x14ac:dyDescent="0.3">
      <c r="A685">
        <v>684</v>
      </c>
      <c r="B685" t="s">
        <v>423</v>
      </c>
      <c r="C685">
        <v>4</v>
      </c>
      <c r="D685">
        <v>1</v>
      </c>
      <c r="E685">
        <v>11</v>
      </c>
      <c r="F685">
        <v>0</v>
      </c>
      <c r="G685">
        <v>4</v>
      </c>
      <c r="H685">
        <v>1</v>
      </c>
      <c r="I685">
        <v>2</v>
      </c>
      <c r="J685">
        <v>13.188347</v>
      </c>
      <c r="K685">
        <v>16.224599999999999</v>
      </c>
      <c r="L685">
        <v>62.041699999999999</v>
      </c>
      <c r="M685">
        <v>10.250128999999999</v>
      </c>
      <c r="N685">
        <v>320</v>
      </c>
      <c r="O685">
        <v>5125</v>
      </c>
      <c r="P685">
        <v>5445</v>
      </c>
    </row>
    <row r="686" spans="1:16" x14ac:dyDescent="0.3">
      <c r="A686">
        <v>685</v>
      </c>
      <c r="B686" t="s">
        <v>424</v>
      </c>
      <c r="C686">
        <v>4</v>
      </c>
      <c r="D686">
        <v>1</v>
      </c>
      <c r="E686">
        <v>11</v>
      </c>
      <c r="F686">
        <v>0</v>
      </c>
      <c r="G686">
        <v>5</v>
      </c>
      <c r="H686">
        <v>1</v>
      </c>
      <c r="I686">
        <v>1</v>
      </c>
      <c r="J686">
        <v>14.145</v>
      </c>
      <c r="K686">
        <v>17.360199999999999</v>
      </c>
      <c r="L686">
        <v>52.458300000000001</v>
      </c>
      <c r="M686">
        <v>11.458674999999999</v>
      </c>
      <c r="N686">
        <v>484</v>
      </c>
      <c r="O686">
        <v>5214</v>
      </c>
      <c r="P686">
        <v>5698</v>
      </c>
    </row>
    <row r="687" spans="1:16" x14ac:dyDescent="0.3">
      <c r="A687">
        <v>686</v>
      </c>
      <c r="B687" t="s">
        <v>425</v>
      </c>
      <c r="C687">
        <v>4</v>
      </c>
      <c r="D687">
        <v>1</v>
      </c>
      <c r="E687">
        <v>11</v>
      </c>
      <c r="F687">
        <v>0</v>
      </c>
      <c r="G687">
        <v>6</v>
      </c>
      <c r="H687">
        <v>0</v>
      </c>
      <c r="I687">
        <v>1</v>
      </c>
      <c r="J687">
        <v>13.324999999999999</v>
      </c>
      <c r="K687">
        <v>16.31915</v>
      </c>
      <c r="L687">
        <v>54.541699999999999</v>
      </c>
      <c r="M687">
        <v>12.041843</v>
      </c>
      <c r="N687">
        <v>1313</v>
      </c>
      <c r="O687">
        <v>4316</v>
      </c>
      <c r="P687">
        <v>5629</v>
      </c>
    </row>
    <row r="688" spans="1:16" x14ac:dyDescent="0.3">
      <c r="A688">
        <v>687</v>
      </c>
      <c r="B688" t="s">
        <v>426</v>
      </c>
      <c r="C688">
        <v>4</v>
      </c>
      <c r="D688">
        <v>1</v>
      </c>
      <c r="E688">
        <v>11</v>
      </c>
      <c r="F688">
        <v>0</v>
      </c>
      <c r="G688">
        <v>0</v>
      </c>
      <c r="H688">
        <v>0</v>
      </c>
      <c r="I688">
        <v>1</v>
      </c>
      <c r="J688">
        <v>14.0425</v>
      </c>
      <c r="K688">
        <v>16.8873</v>
      </c>
      <c r="L688">
        <v>69.291700000000006</v>
      </c>
      <c r="M688">
        <v>15.250004000000001</v>
      </c>
      <c r="N688">
        <v>922</v>
      </c>
      <c r="O688">
        <v>3747</v>
      </c>
      <c r="P688">
        <v>4669</v>
      </c>
    </row>
    <row r="689" spans="1:16" x14ac:dyDescent="0.3">
      <c r="A689">
        <v>688</v>
      </c>
      <c r="B689" t="s">
        <v>427</v>
      </c>
      <c r="C689">
        <v>4</v>
      </c>
      <c r="D689">
        <v>1</v>
      </c>
      <c r="E689">
        <v>11</v>
      </c>
      <c r="F689">
        <v>0</v>
      </c>
      <c r="G689">
        <v>1</v>
      </c>
      <c r="H689">
        <v>1</v>
      </c>
      <c r="I689">
        <v>2</v>
      </c>
      <c r="J689">
        <v>15.614153</v>
      </c>
      <c r="K689">
        <v>18.78105</v>
      </c>
      <c r="L689">
        <v>62.333300000000001</v>
      </c>
      <c r="M689">
        <v>15.749489000000001</v>
      </c>
      <c r="N689">
        <v>449</v>
      </c>
      <c r="O689">
        <v>5050</v>
      </c>
      <c r="P689">
        <v>5499</v>
      </c>
    </row>
    <row r="690" spans="1:16" x14ac:dyDescent="0.3">
      <c r="A690">
        <v>689</v>
      </c>
      <c r="B690" t="s">
        <v>428</v>
      </c>
      <c r="C690">
        <v>4</v>
      </c>
      <c r="D690">
        <v>1</v>
      </c>
      <c r="E690">
        <v>11</v>
      </c>
      <c r="F690">
        <v>0</v>
      </c>
      <c r="G690">
        <v>2</v>
      </c>
      <c r="H690">
        <v>1</v>
      </c>
      <c r="I690">
        <v>2</v>
      </c>
      <c r="J690">
        <v>15.340847</v>
      </c>
      <c r="K690">
        <v>19.033349999999999</v>
      </c>
      <c r="L690">
        <v>68.5</v>
      </c>
      <c r="M690">
        <v>5.5425750000000003</v>
      </c>
      <c r="N690">
        <v>534</v>
      </c>
      <c r="O690">
        <v>5100</v>
      </c>
      <c r="P690">
        <v>5634</v>
      </c>
    </row>
    <row r="691" spans="1:16" x14ac:dyDescent="0.3">
      <c r="A691">
        <v>690</v>
      </c>
      <c r="B691" t="s">
        <v>429</v>
      </c>
      <c r="C691">
        <v>4</v>
      </c>
      <c r="D691">
        <v>1</v>
      </c>
      <c r="E691">
        <v>11</v>
      </c>
      <c r="F691">
        <v>0</v>
      </c>
      <c r="G691">
        <v>3</v>
      </c>
      <c r="H691">
        <v>1</v>
      </c>
      <c r="I691">
        <v>1</v>
      </c>
      <c r="J691">
        <v>14.486653</v>
      </c>
      <c r="K691">
        <v>18.244599999999998</v>
      </c>
      <c r="L691">
        <v>61.375</v>
      </c>
      <c r="M691">
        <v>6.9174819999999997</v>
      </c>
      <c r="N691">
        <v>615</v>
      </c>
      <c r="O691">
        <v>4531</v>
      </c>
      <c r="P691">
        <v>5146</v>
      </c>
    </row>
    <row r="692" spans="1:16" x14ac:dyDescent="0.3">
      <c r="A692">
        <v>691</v>
      </c>
      <c r="B692" t="s">
        <v>430</v>
      </c>
      <c r="C692">
        <v>4</v>
      </c>
      <c r="D692">
        <v>1</v>
      </c>
      <c r="E692">
        <v>11</v>
      </c>
      <c r="F692">
        <v>1</v>
      </c>
      <c r="G692">
        <v>4</v>
      </c>
      <c r="H692">
        <v>0</v>
      </c>
      <c r="I692">
        <v>1</v>
      </c>
      <c r="J692">
        <v>13.94</v>
      </c>
      <c r="K692">
        <v>17.518550000000001</v>
      </c>
      <c r="L692">
        <v>58.041699999999999</v>
      </c>
      <c r="M692">
        <v>3.5423436000000001</v>
      </c>
      <c r="N692">
        <v>955</v>
      </c>
      <c r="O692">
        <v>1470</v>
      </c>
      <c r="P692">
        <v>2425</v>
      </c>
    </row>
    <row r="693" spans="1:16" x14ac:dyDescent="0.3">
      <c r="A693">
        <v>692</v>
      </c>
      <c r="B693" t="s">
        <v>431</v>
      </c>
      <c r="C693">
        <v>4</v>
      </c>
      <c r="D693">
        <v>1</v>
      </c>
      <c r="E693">
        <v>11</v>
      </c>
      <c r="F693">
        <v>0</v>
      </c>
      <c r="G693">
        <v>5</v>
      </c>
      <c r="H693">
        <v>1</v>
      </c>
      <c r="I693">
        <v>1</v>
      </c>
      <c r="J693">
        <v>15.101653000000001</v>
      </c>
      <c r="K693">
        <v>18.938949999999998</v>
      </c>
      <c r="L693">
        <v>56.875</v>
      </c>
      <c r="M693">
        <v>9.9174070000000007</v>
      </c>
      <c r="N693">
        <v>1603</v>
      </c>
      <c r="O693">
        <v>2307</v>
      </c>
      <c r="P693">
        <v>3910</v>
      </c>
    </row>
    <row r="694" spans="1:16" x14ac:dyDescent="0.3">
      <c r="A694">
        <v>693</v>
      </c>
      <c r="B694" t="s">
        <v>432</v>
      </c>
      <c r="C694">
        <v>4</v>
      </c>
      <c r="D694">
        <v>1</v>
      </c>
      <c r="E694">
        <v>11</v>
      </c>
      <c r="F694">
        <v>0</v>
      </c>
      <c r="G694">
        <v>6</v>
      </c>
      <c r="H694">
        <v>0</v>
      </c>
      <c r="I694">
        <v>1</v>
      </c>
      <c r="J694">
        <v>11.411652999999999</v>
      </c>
      <c r="K694">
        <v>12.437099999999999</v>
      </c>
      <c r="L694">
        <v>40.458300000000001</v>
      </c>
      <c r="M694">
        <v>25.250357000000001</v>
      </c>
      <c r="N694">
        <v>532</v>
      </c>
      <c r="O694">
        <v>1745</v>
      </c>
      <c r="P694">
        <v>2277</v>
      </c>
    </row>
    <row r="695" spans="1:16" x14ac:dyDescent="0.3">
      <c r="A695">
        <v>694</v>
      </c>
      <c r="B695" t="s">
        <v>433</v>
      </c>
      <c r="C695">
        <v>4</v>
      </c>
      <c r="D695">
        <v>1</v>
      </c>
      <c r="E695">
        <v>11</v>
      </c>
      <c r="F695">
        <v>0</v>
      </c>
      <c r="G695">
        <v>0</v>
      </c>
      <c r="H695">
        <v>0</v>
      </c>
      <c r="I695">
        <v>1</v>
      </c>
      <c r="J695">
        <v>10.079153</v>
      </c>
      <c r="K695">
        <v>12.879149999999999</v>
      </c>
      <c r="L695">
        <v>46.833300000000001</v>
      </c>
      <c r="M695">
        <v>10.083500000000001</v>
      </c>
      <c r="N695">
        <v>309</v>
      </c>
      <c r="O695">
        <v>2115</v>
      </c>
      <c r="P695">
        <v>2424</v>
      </c>
    </row>
    <row r="696" spans="1:16" x14ac:dyDescent="0.3">
      <c r="A696">
        <v>695</v>
      </c>
      <c r="B696" t="s">
        <v>434</v>
      </c>
      <c r="C696">
        <v>4</v>
      </c>
      <c r="D696">
        <v>1</v>
      </c>
      <c r="E696">
        <v>11</v>
      </c>
      <c r="F696">
        <v>0</v>
      </c>
      <c r="G696">
        <v>1</v>
      </c>
      <c r="H696">
        <v>1</v>
      </c>
      <c r="I696">
        <v>1</v>
      </c>
      <c r="J696">
        <v>12.846653</v>
      </c>
      <c r="K696">
        <v>16.950199999999999</v>
      </c>
      <c r="L696">
        <v>53.541699999999999</v>
      </c>
      <c r="M696">
        <v>3.1255500000000001</v>
      </c>
      <c r="N696">
        <v>337</v>
      </c>
      <c r="O696">
        <v>4750</v>
      </c>
      <c r="P696">
        <v>5087</v>
      </c>
    </row>
    <row r="697" spans="1:16" x14ac:dyDescent="0.3">
      <c r="A697">
        <v>696</v>
      </c>
      <c r="B697" t="s">
        <v>435</v>
      </c>
      <c r="C697">
        <v>4</v>
      </c>
      <c r="D697">
        <v>1</v>
      </c>
      <c r="E697">
        <v>11</v>
      </c>
      <c r="F697">
        <v>0</v>
      </c>
      <c r="G697">
        <v>2</v>
      </c>
      <c r="H697">
        <v>1</v>
      </c>
      <c r="I697">
        <v>2</v>
      </c>
      <c r="J697">
        <v>11.958347</v>
      </c>
      <c r="K697">
        <v>14.0779</v>
      </c>
      <c r="L697">
        <v>78.666700000000006</v>
      </c>
      <c r="M697">
        <v>15.916653999999999</v>
      </c>
      <c r="N697">
        <v>123</v>
      </c>
      <c r="O697">
        <v>3836</v>
      </c>
      <c r="P697">
        <v>3959</v>
      </c>
    </row>
    <row r="698" spans="1:16" x14ac:dyDescent="0.3">
      <c r="A698">
        <v>697</v>
      </c>
      <c r="B698" t="s">
        <v>436</v>
      </c>
      <c r="C698">
        <v>4</v>
      </c>
      <c r="D698">
        <v>1</v>
      </c>
      <c r="E698">
        <v>11</v>
      </c>
      <c r="F698">
        <v>0</v>
      </c>
      <c r="G698">
        <v>3</v>
      </c>
      <c r="H698">
        <v>1</v>
      </c>
      <c r="I698">
        <v>1</v>
      </c>
      <c r="J698">
        <v>12.163347</v>
      </c>
      <c r="K698">
        <v>14.488099999999999</v>
      </c>
      <c r="L698">
        <v>50.625</v>
      </c>
      <c r="M698">
        <v>14.125007</v>
      </c>
      <c r="N698">
        <v>198</v>
      </c>
      <c r="O698">
        <v>5062</v>
      </c>
      <c r="P698">
        <v>5260</v>
      </c>
    </row>
    <row r="699" spans="1:16" x14ac:dyDescent="0.3">
      <c r="A699">
        <v>698</v>
      </c>
      <c r="B699" t="s">
        <v>437</v>
      </c>
      <c r="C699">
        <v>4</v>
      </c>
      <c r="D699">
        <v>1</v>
      </c>
      <c r="E699">
        <v>11</v>
      </c>
      <c r="F699">
        <v>0</v>
      </c>
      <c r="G699">
        <v>4</v>
      </c>
      <c r="H699">
        <v>1</v>
      </c>
      <c r="I699">
        <v>1</v>
      </c>
      <c r="J699">
        <v>11.51567</v>
      </c>
      <c r="K699">
        <v>14.921099999999999</v>
      </c>
      <c r="L699">
        <v>55.565199999999997</v>
      </c>
      <c r="M699">
        <v>7.7399740000000001</v>
      </c>
      <c r="N699">
        <v>243</v>
      </c>
      <c r="O699">
        <v>5080</v>
      </c>
      <c r="P699">
        <v>5323</v>
      </c>
    </row>
    <row r="700" spans="1:16" x14ac:dyDescent="0.3">
      <c r="A700">
        <v>699</v>
      </c>
      <c r="B700" t="s">
        <v>438</v>
      </c>
      <c r="C700">
        <v>4</v>
      </c>
      <c r="D700">
        <v>1</v>
      </c>
      <c r="E700">
        <v>11</v>
      </c>
      <c r="F700">
        <v>0</v>
      </c>
      <c r="G700">
        <v>5</v>
      </c>
      <c r="H700">
        <v>1</v>
      </c>
      <c r="I700">
        <v>1</v>
      </c>
      <c r="J700">
        <v>12.231653</v>
      </c>
      <c r="K700">
        <v>16.193349999999999</v>
      </c>
      <c r="L700">
        <v>64.958299999999994</v>
      </c>
      <c r="M700">
        <v>3.9175436000000001</v>
      </c>
      <c r="N700">
        <v>362</v>
      </c>
      <c r="O700">
        <v>5306</v>
      </c>
      <c r="P700">
        <v>5668</v>
      </c>
    </row>
    <row r="701" spans="1:16" x14ac:dyDescent="0.3">
      <c r="A701">
        <v>700</v>
      </c>
      <c r="B701" s="1">
        <v>43477</v>
      </c>
      <c r="C701">
        <v>4</v>
      </c>
      <c r="D701">
        <v>1</v>
      </c>
      <c r="E701">
        <v>12</v>
      </c>
      <c r="F701">
        <v>0</v>
      </c>
      <c r="G701">
        <v>6</v>
      </c>
      <c r="H701">
        <v>0</v>
      </c>
      <c r="I701">
        <v>2</v>
      </c>
      <c r="J701">
        <v>12.231653</v>
      </c>
      <c r="K701">
        <v>15.8452</v>
      </c>
      <c r="L701">
        <v>80.666700000000006</v>
      </c>
      <c r="M701">
        <v>4.0001813999999998</v>
      </c>
      <c r="N701">
        <v>951</v>
      </c>
      <c r="O701">
        <v>4240</v>
      </c>
      <c r="P701">
        <v>5191</v>
      </c>
    </row>
    <row r="702" spans="1:16" x14ac:dyDescent="0.3">
      <c r="A702">
        <v>701</v>
      </c>
      <c r="B702" s="1">
        <v>43508</v>
      </c>
      <c r="C702">
        <v>4</v>
      </c>
      <c r="D702">
        <v>1</v>
      </c>
      <c r="E702">
        <v>12</v>
      </c>
      <c r="F702">
        <v>0</v>
      </c>
      <c r="G702">
        <v>0</v>
      </c>
      <c r="H702">
        <v>0</v>
      </c>
      <c r="I702">
        <v>2</v>
      </c>
      <c r="J702">
        <v>14.2475</v>
      </c>
      <c r="K702">
        <v>17.9604</v>
      </c>
      <c r="L702">
        <v>82.333299999999994</v>
      </c>
      <c r="M702">
        <v>8.3333929999999992</v>
      </c>
      <c r="N702">
        <v>892</v>
      </c>
      <c r="O702">
        <v>3757</v>
      </c>
      <c r="P702">
        <v>4649</v>
      </c>
    </row>
    <row r="703" spans="1:16" x14ac:dyDescent="0.3">
      <c r="A703">
        <v>702</v>
      </c>
      <c r="B703" s="1">
        <v>43536</v>
      </c>
      <c r="C703">
        <v>4</v>
      </c>
      <c r="D703">
        <v>1</v>
      </c>
      <c r="E703">
        <v>12</v>
      </c>
      <c r="F703">
        <v>0</v>
      </c>
      <c r="G703">
        <v>1</v>
      </c>
      <c r="H703">
        <v>1</v>
      </c>
      <c r="I703">
        <v>1</v>
      </c>
      <c r="J703">
        <v>18.552499999999998</v>
      </c>
      <c r="K703">
        <v>22.7898</v>
      </c>
      <c r="L703">
        <v>76.75</v>
      </c>
      <c r="M703">
        <v>5.5422935999999998</v>
      </c>
      <c r="N703">
        <v>555</v>
      </c>
      <c r="O703">
        <v>5679</v>
      </c>
      <c r="P703">
        <v>6234</v>
      </c>
    </row>
    <row r="704" spans="1:16" x14ac:dyDescent="0.3">
      <c r="A704">
        <v>703</v>
      </c>
      <c r="B704" s="1">
        <v>43567</v>
      </c>
      <c r="C704">
        <v>4</v>
      </c>
      <c r="D704">
        <v>1</v>
      </c>
      <c r="E704">
        <v>12</v>
      </c>
      <c r="F704">
        <v>0</v>
      </c>
      <c r="G704">
        <v>2</v>
      </c>
      <c r="H704">
        <v>1</v>
      </c>
      <c r="I704">
        <v>1</v>
      </c>
      <c r="J704">
        <v>19.509153000000001</v>
      </c>
      <c r="K704">
        <v>23.4527</v>
      </c>
      <c r="L704">
        <v>73.375</v>
      </c>
      <c r="M704">
        <v>11.666643000000001</v>
      </c>
      <c r="N704">
        <v>551</v>
      </c>
      <c r="O704">
        <v>6055</v>
      </c>
      <c r="P704">
        <v>6606</v>
      </c>
    </row>
    <row r="705" spans="1:16" x14ac:dyDescent="0.3">
      <c r="A705">
        <v>704</v>
      </c>
      <c r="B705" s="1">
        <v>43597</v>
      </c>
      <c r="C705">
        <v>4</v>
      </c>
      <c r="D705">
        <v>1</v>
      </c>
      <c r="E705">
        <v>12</v>
      </c>
      <c r="F705">
        <v>0</v>
      </c>
      <c r="G705">
        <v>3</v>
      </c>
      <c r="H705">
        <v>1</v>
      </c>
      <c r="I705">
        <v>1</v>
      </c>
      <c r="J705">
        <v>17.971653</v>
      </c>
      <c r="K705">
        <v>21.400600000000001</v>
      </c>
      <c r="L705">
        <v>48.5</v>
      </c>
      <c r="M705">
        <v>21.709406999999999</v>
      </c>
      <c r="N705">
        <v>331</v>
      </c>
      <c r="O705">
        <v>5398</v>
      </c>
      <c r="P705">
        <v>5729</v>
      </c>
    </row>
    <row r="706" spans="1:16" x14ac:dyDescent="0.3">
      <c r="A706">
        <v>705</v>
      </c>
      <c r="B706" s="1">
        <v>43628</v>
      </c>
      <c r="C706">
        <v>4</v>
      </c>
      <c r="D706">
        <v>1</v>
      </c>
      <c r="E706">
        <v>12</v>
      </c>
      <c r="F706">
        <v>0</v>
      </c>
      <c r="G706">
        <v>4</v>
      </c>
      <c r="H706">
        <v>1</v>
      </c>
      <c r="I706">
        <v>1</v>
      </c>
      <c r="J706">
        <v>10.489153</v>
      </c>
      <c r="K706">
        <v>12.9102</v>
      </c>
      <c r="L706">
        <v>50.875</v>
      </c>
      <c r="M706">
        <v>11.708518</v>
      </c>
      <c r="N706">
        <v>340</v>
      </c>
      <c r="O706">
        <v>5035</v>
      </c>
      <c r="P706">
        <v>5375</v>
      </c>
    </row>
    <row r="707" spans="1:16" x14ac:dyDescent="0.3">
      <c r="A707">
        <v>706</v>
      </c>
      <c r="B707" s="1">
        <v>43658</v>
      </c>
      <c r="C707">
        <v>4</v>
      </c>
      <c r="D707">
        <v>1</v>
      </c>
      <c r="E707">
        <v>12</v>
      </c>
      <c r="F707">
        <v>0</v>
      </c>
      <c r="G707">
        <v>5</v>
      </c>
      <c r="H707">
        <v>1</v>
      </c>
      <c r="I707">
        <v>2</v>
      </c>
      <c r="J707">
        <v>13.154153000000001</v>
      </c>
      <c r="K707">
        <v>16.097899999999999</v>
      </c>
      <c r="L707">
        <v>76.416700000000006</v>
      </c>
      <c r="M707">
        <v>8.7501999999999995</v>
      </c>
      <c r="N707">
        <v>349</v>
      </c>
      <c r="O707">
        <v>4659</v>
      </c>
      <c r="P707">
        <v>5008</v>
      </c>
    </row>
    <row r="708" spans="1:16" x14ac:dyDescent="0.3">
      <c r="A708">
        <v>707</v>
      </c>
      <c r="B708" s="1">
        <v>43689</v>
      </c>
      <c r="C708">
        <v>4</v>
      </c>
      <c r="D708">
        <v>1</v>
      </c>
      <c r="E708">
        <v>12</v>
      </c>
      <c r="F708">
        <v>0</v>
      </c>
      <c r="G708">
        <v>6</v>
      </c>
      <c r="H708">
        <v>0</v>
      </c>
      <c r="I708">
        <v>2</v>
      </c>
      <c r="J708">
        <v>15.648346999999999</v>
      </c>
      <c r="K708">
        <v>19.4754</v>
      </c>
      <c r="L708">
        <v>91.125</v>
      </c>
      <c r="M708">
        <v>6.7923929999999997</v>
      </c>
      <c r="N708">
        <v>1153</v>
      </c>
      <c r="O708">
        <v>4429</v>
      </c>
      <c r="P708">
        <v>5582</v>
      </c>
    </row>
    <row r="709" spans="1:16" x14ac:dyDescent="0.3">
      <c r="A709">
        <v>708</v>
      </c>
      <c r="B709" s="1">
        <v>43720</v>
      </c>
      <c r="C709">
        <v>4</v>
      </c>
      <c r="D709">
        <v>1</v>
      </c>
      <c r="E709">
        <v>12</v>
      </c>
      <c r="F709">
        <v>0</v>
      </c>
      <c r="G709">
        <v>0</v>
      </c>
      <c r="H709">
        <v>0</v>
      </c>
      <c r="I709">
        <v>2</v>
      </c>
      <c r="J709">
        <v>15.750847</v>
      </c>
      <c r="K709">
        <v>19.507300000000001</v>
      </c>
      <c r="L709">
        <v>90.541700000000006</v>
      </c>
      <c r="M709">
        <v>10.584325</v>
      </c>
      <c r="N709">
        <v>441</v>
      </c>
      <c r="O709">
        <v>2787</v>
      </c>
      <c r="P709">
        <v>3228</v>
      </c>
    </row>
    <row r="710" spans="1:16" x14ac:dyDescent="0.3">
      <c r="A710">
        <v>709</v>
      </c>
      <c r="B710" s="1">
        <v>43750</v>
      </c>
      <c r="C710">
        <v>4</v>
      </c>
      <c r="D710">
        <v>1</v>
      </c>
      <c r="E710">
        <v>12</v>
      </c>
      <c r="F710">
        <v>0</v>
      </c>
      <c r="G710">
        <v>1</v>
      </c>
      <c r="H710">
        <v>1</v>
      </c>
      <c r="I710">
        <v>2</v>
      </c>
      <c r="J710">
        <v>17.869153000000001</v>
      </c>
      <c r="K710">
        <v>21.778749999999999</v>
      </c>
      <c r="L710">
        <v>92.5</v>
      </c>
      <c r="M710">
        <v>12.750636</v>
      </c>
      <c r="N710">
        <v>329</v>
      </c>
      <c r="O710">
        <v>4841</v>
      </c>
      <c r="P710">
        <v>5170</v>
      </c>
    </row>
    <row r="711" spans="1:16" x14ac:dyDescent="0.3">
      <c r="A711">
        <v>710</v>
      </c>
      <c r="B711" s="1">
        <v>43781</v>
      </c>
      <c r="C711">
        <v>4</v>
      </c>
      <c r="D711">
        <v>1</v>
      </c>
      <c r="E711">
        <v>12</v>
      </c>
      <c r="F711">
        <v>0</v>
      </c>
      <c r="G711">
        <v>2</v>
      </c>
      <c r="H711">
        <v>1</v>
      </c>
      <c r="I711">
        <v>2</v>
      </c>
      <c r="J711">
        <v>14.486653</v>
      </c>
      <c r="K711">
        <v>16.918150000000001</v>
      </c>
      <c r="L711">
        <v>59.666699999999999</v>
      </c>
      <c r="M711">
        <v>19.834479000000002</v>
      </c>
      <c r="N711">
        <v>282</v>
      </c>
      <c r="O711">
        <v>5219</v>
      </c>
      <c r="P711">
        <v>5501</v>
      </c>
    </row>
    <row r="712" spans="1:16" x14ac:dyDescent="0.3">
      <c r="A712">
        <v>711</v>
      </c>
      <c r="B712" s="1">
        <v>43811</v>
      </c>
      <c r="C712">
        <v>4</v>
      </c>
      <c r="D712">
        <v>1</v>
      </c>
      <c r="E712">
        <v>12</v>
      </c>
      <c r="F712">
        <v>0</v>
      </c>
      <c r="G712">
        <v>3</v>
      </c>
      <c r="H712">
        <v>1</v>
      </c>
      <c r="I712">
        <v>2</v>
      </c>
      <c r="J712">
        <v>12.1975</v>
      </c>
      <c r="K712">
        <v>14.866899999999999</v>
      </c>
      <c r="L712">
        <v>53.833300000000001</v>
      </c>
      <c r="M712">
        <v>10.916779</v>
      </c>
      <c r="N712">
        <v>310</v>
      </c>
      <c r="O712">
        <v>5009</v>
      </c>
      <c r="P712">
        <v>5319</v>
      </c>
    </row>
    <row r="713" spans="1:16" x14ac:dyDescent="0.3">
      <c r="A713">
        <v>712</v>
      </c>
      <c r="B713" t="s">
        <v>439</v>
      </c>
      <c r="C713">
        <v>4</v>
      </c>
      <c r="D713">
        <v>1</v>
      </c>
      <c r="E713">
        <v>12</v>
      </c>
      <c r="F713">
        <v>0</v>
      </c>
      <c r="G713">
        <v>4</v>
      </c>
      <c r="H713">
        <v>1</v>
      </c>
      <c r="I713">
        <v>1</v>
      </c>
      <c r="J713">
        <v>12.129153000000001</v>
      </c>
      <c r="K713">
        <v>14.7094</v>
      </c>
      <c r="L713">
        <v>48.583300000000001</v>
      </c>
      <c r="M713">
        <v>11.666643000000001</v>
      </c>
      <c r="N713">
        <v>425</v>
      </c>
      <c r="O713">
        <v>5107</v>
      </c>
      <c r="P713">
        <v>5532</v>
      </c>
    </row>
    <row r="714" spans="1:16" x14ac:dyDescent="0.3">
      <c r="A714">
        <v>713</v>
      </c>
      <c r="B714" t="s">
        <v>440</v>
      </c>
      <c r="C714">
        <v>4</v>
      </c>
      <c r="D714">
        <v>1</v>
      </c>
      <c r="E714">
        <v>12</v>
      </c>
      <c r="F714">
        <v>0</v>
      </c>
      <c r="G714">
        <v>5</v>
      </c>
      <c r="H714">
        <v>1</v>
      </c>
      <c r="I714">
        <v>1</v>
      </c>
      <c r="J714">
        <v>11.548347</v>
      </c>
      <c r="K714">
        <v>14.7096</v>
      </c>
      <c r="L714">
        <v>64.291700000000006</v>
      </c>
      <c r="M714">
        <v>8.7923430000000007</v>
      </c>
      <c r="N714">
        <v>429</v>
      </c>
      <c r="O714">
        <v>5182</v>
      </c>
      <c r="P714">
        <v>5611</v>
      </c>
    </row>
    <row r="715" spans="1:16" x14ac:dyDescent="0.3">
      <c r="A715">
        <v>714</v>
      </c>
      <c r="B715" t="s">
        <v>441</v>
      </c>
      <c r="C715">
        <v>4</v>
      </c>
      <c r="D715">
        <v>1</v>
      </c>
      <c r="E715">
        <v>12</v>
      </c>
      <c r="F715">
        <v>0</v>
      </c>
      <c r="G715">
        <v>6</v>
      </c>
      <c r="H715">
        <v>0</v>
      </c>
      <c r="I715">
        <v>1</v>
      </c>
      <c r="J715">
        <v>13.290846999999999</v>
      </c>
      <c r="K715">
        <v>16.919149999999998</v>
      </c>
      <c r="L715">
        <v>65.041700000000006</v>
      </c>
      <c r="M715">
        <v>7.1254499999999998</v>
      </c>
      <c r="N715">
        <v>767</v>
      </c>
      <c r="O715">
        <v>4280</v>
      </c>
      <c r="P715">
        <v>5047</v>
      </c>
    </row>
    <row r="716" spans="1:16" x14ac:dyDescent="0.3">
      <c r="A716">
        <v>715</v>
      </c>
      <c r="B716" t="s">
        <v>442</v>
      </c>
      <c r="C716">
        <v>4</v>
      </c>
      <c r="D716">
        <v>1</v>
      </c>
      <c r="E716">
        <v>12</v>
      </c>
      <c r="F716">
        <v>0</v>
      </c>
      <c r="G716">
        <v>0</v>
      </c>
      <c r="H716">
        <v>0</v>
      </c>
      <c r="I716">
        <v>2</v>
      </c>
      <c r="J716">
        <v>14.862500000000001</v>
      </c>
      <c r="K716">
        <v>18.4969</v>
      </c>
      <c r="L716">
        <v>83.875</v>
      </c>
      <c r="M716">
        <v>6.749714</v>
      </c>
      <c r="N716">
        <v>538</v>
      </c>
      <c r="O716">
        <v>3248</v>
      </c>
      <c r="P716">
        <v>3786</v>
      </c>
    </row>
    <row r="717" spans="1:16" x14ac:dyDescent="0.3">
      <c r="A717">
        <v>716</v>
      </c>
      <c r="B717" t="s">
        <v>443</v>
      </c>
      <c r="C717">
        <v>4</v>
      </c>
      <c r="D717">
        <v>1</v>
      </c>
      <c r="E717">
        <v>12</v>
      </c>
      <c r="F717">
        <v>0</v>
      </c>
      <c r="G717">
        <v>1</v>
      </c>
      <c r="H717">
        <v>1</v>
      </c>
      <c r="I717">
        <v>2</v>
      </c>
      <c r="J717">
        <v>16.126653000000001</v>
      </c>
      <c r="K717">
        <v>20.074999999999999</v>
      </c>
      <c r="L717">
        <v>90.708299999999994</v>
      </c>
      <c r="M717">
        <v>6.5833060999999997</v>
      </c>
      <c r="N717">
        <v>212</v>
      </c>
      <c r="O717">
        <v>4373</v>
      </c>
      <c r="P717">
        <v>4585</v>
      </c>
    </row>
    <row r="718" spans="1:16" x14ac:dyDescent="0.3">
      <c r="A718">
        <v>717</v>
      </c>
      <c r="B718" t="s">
        <v>444</v>
      </c>
      <c r="C718">
        <v>4</v>
      </c>
      <c r="D718">
        <v>1</v>
      </c>
      <c r="E718">
        <v>12</v>
      </c>
      <c r="F718">
        <v>0</v>
      </c>
      <c r="G718">
        <v>2</v>
      </c>
      <c r="H718">
        <v>1</v>
      </c>
      <c r="I718">
        <v>1</v>
      </c>
      <c r="J718">
        <v>16.844152999999999</v>
      </c>
      <c r="K718">
        <v>20.485399999999998</v>
      </c>
      <c r="L718">
        <v>66.625</v>
      </c>
      <c r="M718">
        <v>14.834068</v>
      </c>
      <c r="N718">
        <v>433</v>
      </c>
      <c r="O718">
        <v>5124</v>
      </c>
      <c r="P718">
        <v>5557</v>
      </c>
    </row>
    <row r="719" spans="1:16" x14ac:dyDescent="0.3">
      <c r="A719">
        <v>718</v>
      </c>
      <c r="B719" t="s">
        <v>445</v>
      </c>
      <c r="C719">
        <v>4</v>
      </c>
      <c r="D719">
        <v>1</v>
      </c>
      <c r="E719">
        <v>12</v>
      </c>
      <c r="F719">
        <v>0</v>
      </c>
      <c r="G719">
        <v>3</v>
      </c>
      <c r="H719">
        <v>1</v>
      </c>
      <c r="I719">
        <v>1</v>
      </c>
      <c r="J719">
        <v>13.6325</v>
      </c>
      <c r="K719">
        <v>17.1081</v>
      </c>
      <c r="L719">
        <v>62.541699999999999</v>
      </c>
      <c r="M719">
        <v>12.334163999999999</v>
      </c>
      <c r="N719">
        <v>333</v>
      </c>
      <c r="O719">
        <v>4934</v>
      </c>
      <c r="P719">
        <v>5267</v>
      </c>
    </row>
    <row r="720" spans="1:16" x14ac:dyDescent="0.3">
      <c r="A720">
        <v>719</v>
      </c>
      <c r="B720" t="s">
        <v>446</v>
      </c>
      <c r="C720">
        <v>4</v>
      </c>
      <c r="D720">
        <v>1</v>
      </c>
      <c r="E720">
        <v>12</v>
      </c>
      <c r="F720">
        <v>0</v>
      </c>
      <c r="G720">
        <v>4</v>
      </c>
      <c r="H720">
        <v>1</v>
      </c>
      <c r="I720">
        <v>2</v>
      </c>
      <c r="J720">
        <v>13.53</v>
      </c>
      <c r="K720">
        <v>16.760850000000001</v>
      </c>
      <c r="L720">
        <v>66.791700000000006</v>
      </c>
      <c r="M720">
        <v>8.8750210000000003</v>
      </c>
      <c r="N720">
        <v>314</v>
      </c>
      <c r="O720">
        <v>3814</v>
      </c>
      <c r="P720">
        <v>4128</v>
      </c>
    </row>
    <row r="721" spans="1:16" x14ac:dyDescent="0.3">
      <c r="A721">
        <v>720</v>
      </c>
      <c r="B721" t="s">
        <v>447</v>
      </c>
      <c r="C721">
        <v>1</v>
      </c>
      <c r="D721">
        <v>1</v>
      </c>
      <c r="E721">
        <v>12</v>
      </c>
      <c r="F721">
        <v>0</v>
      </c>
      <c r="G721">
        <v>5</v>
      </c>
      <c r="H721">
        <v>1</v>
      </c>
      <c r="I721">
        <v>2</v>
      </c>
      <c r="J721">
        <v>13.393347</v>
      </c>
      <c r="K721">
        <v>15.08835</v>
      </c>
      <c r="L721">
        <v>55.666699999999999</v>
      </c>
      <c r="M721">
        <v>25.083660999999999</v>
      </c>
      <c r="N721">
        <v>221</v>
      </c>
      <c r="O721">
        <v>3402</v>
      </c>
      <c r="P721">
        <v>3623</v>
      </c>
    </row>
    <row r="722" spans="1:16" x14ac:dyDescent="0.3">
      <c r="A722">
        <v>721</v>
      </c>
      <c r="B722" t="s">
        <v>448</v>
      </c>
      <c r="C722">
        <v>1</v>
      </c>
      <c r="D722">
        <v>1</v>
      </c>
      <c r="E722">
        <v>12</v>
      </c>
      <c r="F722">
        <v>0</v>
      </c>
      <c r="G722">
        <v>6</v>
      </c>
      <c r="H722">
        <v>0</v>
      </c>
      <c r="I722">
        <v>1</v>
      </c>
      <c r="J722">
        <v>10.899153</v>
      </c>
      <c r="K722">
        <v>11.80565</v>
      </c>
      <c r="L722">
        <v>44.125</v>
      </c>
      <c r="M722">
        <v>27.292182</v>
      </c>
      <c r="N722">
        <v>205</v>
      </c>
      <c r="O722">
        <v>1544</v>
      </c>
      <c r="P722">
        <v>1749</v>
      </c>
    </row>
    <row r="723" spans="1:16" x14ac:dyDescent="0.3">
      <c r="A723">
        <v>722</v>
      </c>
      <c r="B723" t="s">
        <v>449</v>
      </c>
      <c r="C723">
        <v>1</v>
      </c>
      <c r="D723">
        <v>1</v>
      </c>
      <c r="E723">
        <v>12</v>
      </c>
      <c r="F723">
        <v>0</v>
      </c>
      <c r="G723">
        <v>0</v>
      </c>
      <c r="H723">
        <v>0</v>
      </c>
      <c r="I723">
        <v>1</v>
      </c>
      <c r="J723">
        <v>10.079153</v>
      </c>
      <c r="K723">
        <v>12.973549999999999</v>
      </c>
      <c r="L723">
        <v>51.541699999999999</v>
      </c>
      <c r="M723">
        <v>8.9165609999999997</v>
      </c>
      <c r="N723">
        <v>408</v>
      </c>
      <c r="O723">
        <v>1379</v>
      </c>
      <c r="P723">
        <v>1787</v>
      </c>
    </row>
    <row r="724" spans="1:16" x14ac:dyDescent="0.3">
      <c r="A724">
        <v>723</v>
      </c>
      <c r="B724" t="s">
        <v>450</v>
      </c>
      <c r="C724">
        <v>1</v>
      </c>
      <c r="D724">
        <v>1</v>
      </c>
      <c r="E724">
        <v>12</v>
      </c>
      <c r="F724">
        <v>0</v>
      </c>
      <c r="G724">
        <v>1</v>
      </c>
      <c r="H724">
        <v>1</v>
      </c>
      <c r="I724">
        <v>2</v>
      </c>
      <c r="J724">
        <v>9.4834639999999997</v>
      </c>
      <c r="K724">
        <v>12.945</v>
      </c>
      <c r="L724">
        <v>79.130399999999995</v>
      </c>
      <c r="M724">
        <v>5.1744367999999996</v>
      </c>
      <c r="N724">
        <v>174</v>
      </c>
      <c r="O724">
        <v>746</v>
      </c>
      <c r="P724">
        <v>920</v>
      </c>
    </row>
    <row r="725" spans="1:16" x14ac:dyDescent="0.3">
      <c r="A725">
        <v>724</v>
      </c>
      <c r="B725" t="s">
        <v>451</v>
      </c>
      <c r="C725">
        <v>1</v>
      </c>
      <c r="D725">
        <v>1</v>
      </c>
      <c r="E725">
        <v>12</v>
      </c>
      <c r="F725">
        <v>1</v>
      </c>
      <c r="G725">
        <v>2</v>
      </c>
      <c r="H725">
        <v>0</v>
      </c>
      <c r="I725">
        <v>2</v>
      </c>
      <c r="J725">
        <v>11.943464000000001</v>
      </c>
      <c r="K725">
        <v>14.72325</v>
      </c>
      <c r="L725">
        <v>73.478300000000004</v>
      </c>
      <c r="M725">
        <v>11.304641999999999</v>
      </c>
      <c r="N725">
        <v>440</v>
      </c>
      <c r="O725">
        <v>573</v>
      </c>
      <c r="P725">
        <v>1013</v>
      </c>
    </row>
    <row r="726" spans="1:16" x14ac:dyDescent="0.3">
      <c r="A726">
        <v>725</v>
      </c>
      <c r="B726" t="s">
        <v>452</v>
      </c>
      <c r="C726">
        <v>1</v>
      </c>
      <c r="D726">
        <v>1</v>
      </c>
      <c r="E726">
        <v>12</v>
      </c>
      <c r="F726">
        <v>0</v>
      </c>
      <c r="G726">
        <v>3</v>
      </c>
      <c r="H726">
        <v>1</v>
      </c>
      <c r="I726">
        <v>3</v>
      </c>
      <c r="J726">
        <v>9.9766530000000007</v>
      </c>
      <c r="K726">
        <v>11.01665</v>
      </c>
      <c r="L726">
        <v>82.333299999999994</v>
      </c>
      <c r="M726">
        <v>21.208582</v>
      </c>
      <c r="N726">
        <v>9</v>
      </c>
      <c r="O726">
        <v>432</v>
      </c>
      <c r="P726">
        <v>441</v>
      </c>
    </row>
    <row r="727" spans="1:16" x14ac:dyDescent="0.3">
      <c r="A727">
        <v>726</v>
      </c>
      <c r="B727" t="s">
        <v>453</v>
      </c>
      <c r="C727">
        <v>1</v>
      </c>
      <c r="D727">
        <v>1</v>
      </c>
      <c r="E727">
        <v>12</v>
      </c>
      <c r="F727">
        <v>0</v>
      </c>
      <c r="G727">
        <v>4</v>
      </c>
      <c r="H727">
        <v>1</v>
      </c>
      <c r="I727">
        <v>2</v>
      </c>
      <c r="J727">
        <v>10.420847</v>
      </c>
      <c r="K727">
        <v>11.332100000000001</v>
      </c>
      <c r="L727">
        <v>65.291700000000006</v>
      </c>
      <c r="M727">
        <v>23.458911000000001</v>
      </c>
      <c r="N727">
        <v>247</v>
      </c>
      <c r="O727">
        <v>1867</v>
      </c>
      <c r="P727">
        <v>2114</v>
      </c>
    </row>
    <row r="728" spans="1:16" x14ac:dyDescent="0.3">
      <c r="A728">
        <v>727</v>
      </c>
      <c r="B728" t="s">
        <v>454</v>
      </c>
      <c r="C728">
        <v>1</v>
      </c>
      <c r="D728">
        <v>1</v>
      </c>
      <c r="E728">
        <v>12</v>
      </c>
      <c r="F728">
        <v>0</v>
      </c>
      <c r="G728">
        <v>5</v>
      </c>
      <c r="H728">
        <v>1</v>
      </c>
      <c r="I728">
        <v>2</v>
      </c>
      <c r="J728">
        <v>10.386653000000001</v>
      </c>
      <c r="K728">
        <v>12.7523</v>
      </c>
      <c r="L728">
        <v>59</v>
      </c>
      <c r="M728">
        <v>10.416556999999999</v>
      </c>
      <c r="N728">
        <v>644</v>
      </c>
      <c r="O728">
        <v>2451</v>
      </c>
      <c r="P728">
        <v>3095</v>
      </c>
    </row>
    <row r="729" spans="1:16" x14ac:dyDescent="0.3">
      <c r="A729">
        <v>728</v>
      </c>
      <c r="B729" t="s">
        <v>455</v>
      </c>
      <c r="C729">
        <v>1</v>
      </c>
      <c r="D729">
        <v>1</v>
      </c>
      <c r="E729">
        <v>12</v>
      </c>
      <c r="F729">
        <v>0</v>
      </c>
      <c r="G729">
        <v>6</v>
      </c>
      <c r="H729">
        <v>0</v>
      </c>
      <c r="I729">
        <v>2</v>
      </c>
      <c r="J729">
        <v>10.386653000000001</v>
      </c>
      <c r="K729">
        <v>12.12</v>
      </c>
      <c r="L729">
        <v>75.291700000000006</v>
      </c>
      <c r="M729">
        <v>8.3336609999999993</v>
      </c>
      <c r="N729">
        <v>159</v>
      </c>
      <c r="O729">
        <v>1182</v>
      </c>
      <c r="P729">
        <v>1341</v>
      </c>
    </row>
    <row r="730" spans="1:16" x14ac:dyDescent="0.3">
      <c r="A730">
        <v>729</v>
      </c>
      <c r="B730" t="s">
        <v>456</v>
      </c>
      <c r="C730">
        <v>1</v>
      </c>
      <c r="D730">
        <v>1</v>
      </c>
      <c r="E730">
        <v>12</v>
      </c>
      <c r="F730">
        <v>0</v>
      </c>
      <c r="G730">
        <v>0</v>
      </c>
      <c r="H730">
        <v>0</v>
      </c>
      <c r="I730">
        <v>1</v>
      </c>
      <c r="J730">
        <v>10.489153</v>
      </c>
      <c r="K730">
        <v>11.585000000000001</v>
      </c>
      <c r="L730">
        <v>48.333300000000001</v>
      </c>
      <c r="M730">
        <v>23.500518</v>
      </c>
      <c r="N730">
        <v>364</v>
      </c>
      <c r="O730">
        <v>1432</v>
      </c>
      <c r="P730">
        <v>1796</v>
      </c>
    </row>
    <row r="731" spans="1:16" x14ac:dyDescent="0.3">
      <c r="A731">
        <v>730</v>
      </c>
      <c r="B731" t="s">
        <v>457</v>
      </c>
      <c r="C731">
        <v>1</v>
      </c>
      <c r="D731">
        <v>1</v>
      </c>
      <c r="E731">
        <v>12</v>
      </c>
      <c r="F731">
        <v>0</v>
      </c>
      <c r="G731">
        <v>1</v>
      </c>
      <c r="H731">
        <v>1</v>
      </c>
      <c r="I731">
        <v>2</v>
      </c>
      <c r="J731">
        <v>8.8491529999999994</v>
      </c>
      <c r="K731">
        <v>11.17435</v>
      </c>
      <c r="L731">
        <v>57.75</v>
      </c>
      <c r="M731">
        <v>10.374682</v>
      </c>
      <c r="N731">
        <v>439</v>
      </c>
      <c r="O731">
        <v>2290</v>
      </c>
      <c r="P731">
        <v>2729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1"/>
  <sheetViews>
    <sheetView zoomScale="94" zoomScaleNormal="85" workbookViewId="0">
      <selection activeCell="P2" sqref="P2"/>
    </sheetView>
  </sheetViews>
  <sheetFormatPr defaultRowHeight="14.4" x14ac:dyDescent="0.3"/>
  <cols>
    <col min="1" max="1" width="8.77734375" customWidth="1"/>
    <col min="2" max="2" width="11.21875" bestFit="1" customWidth="1"/>
    <col min="3" max="3" width="8.77734375" customWidth="1"/>
    <col min="4" max="4" width="7.109375" bestFit="1" customWidth="1"/>
    <col min="5" max="5" width="9" bestFit="1" customWidth="1"/>
    <col min="6" max="6" width="9.44140625" bestFit="1" customWidth="1"/>
    <col min="7" max="7" width="10.5546875" customWidth="1"/>
    <col min="8" max="8" width="12.6640625" customWidth="1"/>
    <col min="9" max="9" width="14.109375" bestFit="1" customWidth="1"/>
    <col min="10" max="10" width="13.6640625" customWidth="1"/>
    <col min="11" max="11" width="15" bestFit="1" customWidth="1"/>
    <col min="12" max="12" width="15" customWidth="1"/>
    <col min="13" max="13" width="10.88671875" bestFit="1" customWidth="1"/>
    <col min="14" max="14" width="19" bestFit="1" customWidth="1"/>
    <col min="15" max="15" width="12.21875" customWidth="1"/>
    <col min="16" max="16" width="20.77734375" bestFit="1" customWidth="1"/>
    <col min="17" max="17" width="8.5546875" bestFit="1" customWidth="1"/>
    <col min="18" max="18" width="11.5546875" customWidth="1"/>
    <col min="19" max="19" width="7.88671875" bestFit="1" customWidth="1"/>
  </cols>
  <sheetData>
    <row r="1" spans="1:19" x14ac:dyDescent="0.3">
      <c r="A1" t="s">
        <v>920</v>
      </c>
      <c r="B1" t="s">
        <v>935</v>
      </c>
      <c r="C1" t="s">
        <v>2</v>
      </c>
      <c r="D1" t="s">
        <v>458</v>
      </c>
      <c r="E1" t="s">
        <v>459</v>
      </c>
      <c r="F1" t="s">
        <v>5</v>
      </c>
      <c r="G1" t="s">
        <v>6</v>
      </c>
      <c r="H1" t="s">
        <v>7</v>
      </c>
      <c r="I1" t="s">
        <v>934</v>
      </c>
      <c r="J1" t="s">
        <v>460</v>
      </c>
      <c r="K1" t="s">
        <v>933</v>
      </c>
      <c r="L1" t="s">
        <v>941</v>
      </c>
      <c r="M1" t="s">
        <v>903</v>
      </c>
      <c r="N1" t="s">
        <v>951</v>
      </c>
      <c r="O1" t="s">
        <v>12</v>
      </c>
      <c r="P1" t="s">
        <v>964</v>
      </c>
      <c r="Q1" t="s">
        <v>13</v>
      </c>
      <c r="R1" t="s">
        <v>14</v>
      </c>
      <c r="S1" t="s">
        <v>15</v>
      </c>
    </row>
    <row r="2" spans="1:19" x14ac:dyDescent="0.3">
      <c r="A2" s="2">
        <v>1</v>
      </c>
      <c r="B2" s="1">
        <v>43101</v>
      </c>
      <c r="C2" t="s">
        <v>907</v>
      </c>
      <c r="D2">
        <v>2018</v>
      </c>
      <c r="E2" t="s">
        <v>921</v>
      </c>
      <c r="F2" t="s">
        <v>908</v>
      </c>
      <c r="G2" t="s">
        <v>915</v>
      </c>
      <c r="H2" t="s">
        <v>908</v>
      </c>
      <c r="I2" t="s">
        <v>918</v>
      </c>
      <c r="J2" s="2">
        <v>14.110847</v>
      </c>
      <c r="K2" s="2">
        <v>18.181249999999999</v>
      </c>
      <c r="L2" s="2" t="str">
        <f>FLOOR(K2,5)&amp;"–"&amp;FLOOR(K2,5)+5&amp;"°C"</f>
        <v>15–20°C</v>
      </c>
      <c r="M2" s="3">
        <v>80.583299999999994</v>
      </c>
      <c r="N2" s="3" t="str">
        <f t="shared" ref="N2:N65" si="0">FLOOR(M2,20)&amp;"–"&amp;FLOOR(M2,20)+20&amp;"%"</f>
        <v>80–100%</v>
      </c>
      <c r="O2" s="2">
        <v>10.749881999999999</v>
      </c>
      <c r="P2" s="2" t="str">
        <f t="shared" ref="P2:P65" si="1">FLOOR(O2,5)&amp;"–"&amp;FLOOR(O2,5)+5&amp;" km/h"</f>
        <v>10–15 km/h</v>
      </c>
      <c r="Q2" s="2">
        <v>331</v>
      </c>
      <c r="R2" s="2">
        <v>654</v>
      </c>
      <c r="S2" s="2">
        <v>985</v>
      </c>
    </row>
    <row r="3" spans="1:19" x14ac:dyDescent="0.3">
      <c r="A3" s="2">
        <v>2</v>
      </c>
      <c r="B3" s="1">
        <v>43132</v>
      </c>
      <c r="C3" t="s">
        <v>907</v>
      </c>
      <c r="D3">
        <v>2018</v>
      </c>
      <c r="E3" t="s">
        <v>921</v>
      </c>
      <c r="F3" t="s">
        <v>908</v>
      </c>
      <c r="G3" t="s">
        <v>916</v>
      </c>
      <c r="H3" t="s">
        <v>908</v>
      </c>
      <c r="I3" t="s">
        <v>918</v>
      </c>
      <c r="J3" s="2">
        <v>14.902597999999999</v>
      </c>
      <c r="K3" s="2">
        <v>17.68695</v>
      </c>
      <c r="L3" s="2" t="str">
        <f t="shared" ref="L3:L65" si="2">FLOOR(K3,5)&amp;"–"&amp;FLOOR(K3,5)+5&amp;"°C"</f>
        <v>15–20°C</v>
      </c>
      <c r="M3" s="3">
        <v>69.608699999999999</v>
      </c>
      <c r="N3" s="3" t="str">
        <f t="shared" si="0"/>
        <v>60–80%</v>
      </c>
      <c r="O3" s="2">
        <v>16.652113</v>
      </c>
      <c r="P3" s="2" t="str">
        <f t="shared" si="1"/>
        <v>15–20 km/h</v>
      </c>
      <c r="Q3" s="2">
        <v>131</v>
      </c>
      <c r="R3" s="2">
        <v>670</v>
      </c>
      <c r="S3" s="2">
        <v>801</v>
      </c>
    </row>
    <row r="4" spans="1:19" x14ac:dyDescent="0.3">
      <c r="A4" s="2">
        <v>3</v>
      </c>
      <c r="B4" s="1">
        <v>43160</v>
      </c>
      <c r="C4" t="s">
        <v>907</v>
      </c>
      <c r="D4">
        <v>2018</v>
      </c>
      <c r="E4" t="s">
        <v>921</v>
      </c>
      <c r="F4" t="s">
        <v>908</v>
      </c>
      <c r="G4" t="s">
        <v>910</v>
      </c>
      <c r="H4" t="s">
        <v>909</v>
      </c>
      <c r="I4" t="s">
        <v>917</v>
      </c>
      <c r="J4" s="2">
        <v>8.0509240000000002</v>
      </c>
      <c r="K4" s="2">
        <v>9.4702500000000001</v>
      </c>
      <c r="L4" s="2" t="str">
        <f t="shared" si="2"/>
        <v>5–10°C</v>
      </c>
      <c r="M4" s="3">
        <v>43.7273</v>
      </c>
      <c r="N4" s="3" t="str">
        <f t="shared" si="0"/>
        <v>40–60%</v>
      </c>
      <c r="O4" s="2">
        <v>16.636703000000001</v>
      </c>
      <c r="P4" s="2" t="str">
        <f t="shared" si="1"/>
        <v>15–20 km/h</v>
      </c>
      <c r="Q4" s="2">
        <v>120</v>
      </c>
      <c r="R4" s="2">
        <v>1229</v>
      </c>
      <c r="S4" s="2">
        <v>1349</v>
      </c>
    </row>
    <row r="5" spans="1:19" x14ac:dyDescent="0.3">
      <c r="A5" s="2">
        <v>4</v>
      </c>
      <c r="B5" s="1">
        <v>43191</v>
      </c>
      <c r="C5" t="s">
        <v>907</v>
      </c>
      <c r="D5">
        <v>2018</v>
      </c>
      <c r="E5" t="s">
        <v>921</v>
      </c>
      <c r="F5" t="s">
        <v>908</v>
      </c>
      <c r="G5" t="s">
        <v>911</v>
      </c>
      <c r="H5" t="s">
        <v>909</v>
      </c>
      <c r="I5" t="s">
        <v>917</v>
      </c>
      <c r="J5" s="2">
        <v>8.1999999999999993</v>
      </c>
      <c r="K5" s="2">
        <v>10.6061</v>
      </c>
      <c r="L5" s="2" t="str">
        <f t="shared" si="2"/>
        <v>10–15°C</v>
      </c>
      <c r="M5" s="3">
        <v>59.043500000000002</v>
      </c>
      <c r="N5" s="3" t="str">
        <f t="shared" si="0"/>
        <v>40–60%</v>
      </c>
      <c r="O5" s="2">
        <v>10.739832</v>
      </c>
      <c r="P5" s="2" t="str">
        <f t="shared" si="1"/>
        <v>10–15 km/h</v>
      </c>
      <c r="Q5" s="2">
        <v>108</v>
      </c>
      <c r="R5" s="2">
        <v>1454</v>
      </c>
      <c r="S5" s="2">
        <v>1562</v>
      </c>
    </row>
    <row r="6" spans="1:19" x14ac:dyDescent="0.3">
      <c r="A6" s="2">
        <v>5</v>
      </c>
      <c r="B6" s="1">
        <v>43221</v>
      </c>
      <c r="C6" t="s">
        <v>907</v>
      </c>
      <c r="D6">
        <v>2018</v>
      </c>
      <c r="E6" t="s">
        <v>921</v>
      </c>
      <c r="F6" t="s">
        <v>908</v>
      </c>
      <c r="G6" t="s">
        <v>912</v>
      </c>
      <c r="H6" t="s">
        <v>909</v>
      </c>
      <c r="I6" t="s">
        <v>917</v>
      </c>
      <c r="J6" s="2">
        <v>9.305237</v>
      </c>
      <c r="K6" s="2">
        <v>11.4635</v>
      </c>
      <c r="L6" s="2" t="str">
        <f t="shared" si="2"/>
        <v>10–15°C</v>
      </c>
      <c r="M6" s="3">
        <v>43.695700000000002</v>
      </c>
      <c r="N6" s="3" t="str">
        <f t="shared" si="0"/>
        <v>40–60%</v>
      </c>
      <c r="O6" s="2">
        <v>12.5223</v>
      </c>
      <c r="P6" s="2" t="str">
        <f t="shared" si="1"/>
        <v>10–15 km/h</v>
      </c>
      <c r="Q6" s="2">
        <v>82</v>
      </c>
      <c r="R6" s="2">
        <v>1518</v>
      </c>
      <c r="S6" s="2">
        <v>1600</v>
      </c>
    </row>
    <row r="7" spans="1:19" x14ac:dyDescent="0.3">
      <c r="A7" s="2">
        <v>6</v>
      </c>
      <c r="B7" s="1">
        <v>43252</v>
      </c>
      <c r="C7" t="s">
        <v>907</v>
      </c>
      <c r="D7">
        <v>2018</v>
      </c>
      <c r="E7" t="s">
        <v>921</v>
      </c>
      <c r="F7" t="s">
        <v>908</v>
      </c>
      <c r="G7" t="s">
        <v>913</v>
      </c>
      <c r="H7" t="s">
        <v>909</v>
      </c>
      <c r="I7" t="s">
        <v>917</v>
      </c>
      <c r="J7" s="2">
        <v>8.3782680000000003</v>
      </c>
      <c r="K7" s="2">
        <v>11.660450000000001</v>
      </c>
      <c r="L7" s="2" t="str">
        <f t="shared" si="2"/>
        <v>10–15°C</v>
      </c>
      <c r="M7" s="3">
        <v>51.826099999999997</v>
      </c>
      <c r="N7" s="3" t="str">
        <f t="shared" si="0"/>
        <v>40–60%</v>
      </c>
      <c r="O7" s="2">
        <v>6.0008683999999999</v>
      </c>
      <c r="P7" s="2" t="str">
        <f t="shared" si="1"/>
        <v>5–10 km/h</v>
      </c>
      <c r="Q7" s="2">
        <v>88</v>
      </c>
      <c r="R7" s="2">
        <v>1518</v>
      </c>
      <c r="S7" s="2">
        <v>1606</v>
      </c>
    </row>
    <row r="8" spans="1:19" x14ac:dyDescent="0.3">
      <c r="A8" s="2">
        <v>7</v>
      </c>
      <c r="B8" s="1">
        <v>43282</v>
      </c>
      <c r="C8" t="s">
        <v>907</v>
      </c>
      <c r="D8">
        <v>2018</v>
      </c>
      <c r="E8" t="s">
        <v>921</v>
      </c>
      <c r="F8" t="s">
        <v>908</v>
      </c>
      <c r="G8" t="s">
        <v>914</v>
      </c>
      <c r="H8" t="s">
        <v>909</v>
      </c>
      <c r="I8" t="s">
        <v>918</v>
      </c>
      <c r="J8" s="2">
        <v>8.0574019999999997</v>
      </c>
      <c r="K8" s="2">
        <v>10.44195</v>
      </c>
      <c r="L8" s="2" t="str">
        <f t="shared" si="2"/>
        <v>10–15°C</v>
      </c>
      <c r="M8" s="3">
        <v>49.869599999999998</v>
      </c>
      <c r="N8" s="3" t="str">
        <f t="shared" si="0"/>
        <v>40–60%</v>
      </c>
      <c r="O8" s="2">
        <v>11.304641999999999</v>
      </c>
      <c r="P8" s="2" t="str">
        <f t="shared" si="1"/>
        <v>10–15 km/h</v>
      </c>
      <c r="Q8" s="2">
        <v>148</v>
      </c>
      <c r="R8" s="2">
        <v>1362</v>
      </c>
      <c r="S8" s="2">
        <v>1510</v>
      </c>
    </row>
    <row r="9" spans="1:19" x14ac:dyDescent="0.3">
      <c r="A9" s="2">
        <v>8</v>
      </c>
      <c r="B9" s="1">
        <v>43313</v>
      </c>
      <c r="C9" t="s">
        <v>907</v>
      </c>
      <c r="D9">
        <v>2018</v>
      </c>
      <c r="E9" t="s">
        <v>921</v>
      </c>
      <c r="F9" t="s">
        <v>908</v>
      </c>
      <c r="G9" t="s">
        <v>915</v>
      </c>
      <c r="H9" t="s">
        <v>908</v>
      </c>
      <c r="I9" t="s">
        <v>918</v>
      </c>
      <c r="J9" s="2">
        <v>6.7649999999999997</v>
      </c>
      <c r="K9" s="2">
        <v>8.1127000000000002</v>
      </c>
      <c r="L9" s="2" t="str">
        <f t="shared" si="2"/>
        <v>5–10°C</v>
      </c>
      <c r="M9" s="3">
        <v>53.583300000000001</v>
      </c>
      <c r="N9" s="3" t="str">
        <f t="shared" si="0"/>
        <v>40–60%</v>
      </c>
      <c r="O9" s="2">
        <v>17.875868000000001</v>
      </c>
      <c r="P9" s="2" t="str">
        <f t="shared" si="1"/>
        <v>15–20 km/h</v>
      </c>
      <c r="Q9" s="2">
        <v>68</v>
      </c>
      <c r="R9" s="2">
        <v>891</v>
      </c>
      <c r="S9" s="2">
        <v>959</v>
      </c>
    </row>
    <row r="10" spans="1:19" x14ac:dyDescent="0.3">
      <c r="A10" s="2">
        <v>9</v>
      </c>
      <c r="B10" s="1">
        <v>43344</v>
      </c>
      <c r="C10" t="s">
        <v>907</v>
      </c>
      <c r="D10">
        <v>2018</v>
      </c>
      <c r="E10" t="s">
        <v>921</v>
      </c>
      <c r="F10" t="s">
        <v>908</v>
      </c>
      <c r="G10" t="s">
        <v>916</v>
      </c>
      <c r="H10" t="s">
        <v>908</v>
      </c>
      <c r="I10" t="s">
        <v>917</v>
      </c>
      <c r="J10" s="2">
        <v>5.6716530000000001</v>
      </c>
      <c r="K10" s="2">
        <v>5.8087499999999999</v>
      </c>
      <c r="L10" s="2" t="str">
        <f t="shared" si="2"/>
        <v>5–10°C</v>
      </c>
      <c r="M10" s="3">
        <v>43.416699999999999</v>
      </c>
      <c r="N10" s="3" t="str">
        <f t="shared" si="0"/>
        <v>40–60%</v>
      </c>
      <c r="O10" s="2">
        <v>24.25065</v>
      </c>
      <c r="P10" s="2" t="str">
        <f t="shared" si="1"/>
        <v>20–25 km/h</v>
      </c>
      <c r="Q10" s="2">
        <v>54</v>
      </c>
      <c r="R10" s="2">
        <v>768</v>
      </c>
      <c r="S10" s="2">
        <v>822</v>
      </c>
    </row>
    <row r="11" spans="1:19" x14ac:dyDescent="0.3">
      <c r="A11" s="2">
        <v>10</v>
      </c>
      <c r="B11" s="1">
        <v>43374</v>
      </c>
      <c r="C11" t="s">
        <v>907</v>
      </c>
      <c r="D11">
        <v>2018</v>
      </c>
      <c r="E11" t="s">
        <v>921</v>
      </c>
      <c r="F11" t="s">
        <v>908</v>
      </c>
      <c r="G11" t="s">
        <v>910</v>
      </c>
      <c r="H11" t="s">
        <v>909</v>
      </c>
      <c r="I11" t="s">
        <v>917</v>
      </c>
      <c r="J11" s="2">
        <v>6.1841530000000002</v>
      </c>
      <c r="K11" s="2">
        <v>7.5444000000000004</v>
      </c>
      <c r="L11" s="2" t="str">
        <f t="shared" si="2"/>
        <v>5–10°C</v>
      </c>
      <c r="M11" s="3">
        <v>48.291699999999999</v>
      </c>
      <c r="N11" s="3" t="str">
        <f t="shared" si="0"/>
        <v>40–60%</v>
      </c>
      <c r="O11" s="2">
        <v>14.958888999999999</v>
      </c>
      <c r="P11" s="2" t="str">
        <f t="shared" si="1"/>
        <v>10–15 km/h</v>
      </c>
      <c r="Q11" s="2">
        <v>41</v>
      </c>
      <c r="R11" s="2">
        <v>1280</v>
      </c>
      <c r="S11" s="2">
        <v>1321</v>
      </c>
    </row>
    <row r="12" spans="1:19" x14ac:dyDescent="0.3">
      <c r="A12" s="2">
        <v>11</v>
      </c>
      <c r="B12" s="1">
        <v>43405</v>
      </c>
      <c r="C12" t="s">
        <v>907</v>
      </c>
      <c r="D12">
        <v>2018</v>
      </c>
      <c r="E12" t="s">
        <v>921</v>
      </c>
      <c r="F12" t="s">
        <v>908</v>
      </c>
      <c r="G12" t="s">
        <v>911</v>
      </c>
      <c r="H12" t="s">
        <v>909</v>
      </c>
      <c r="I12" t="s">
        <v>918</v>
      </c>
      <c r="J12" s="2">
        <v>6.9327310000000004</v>
      </c>
      <c r="K12" s="2">
        <v>9.5731999999999999</v>
      </c>
      <c r="L12" s="2" t="str">
        <f t="shared" si="2"/>
        <v>5–10°C</v>
      </c>
      <c r="M12" s="3">
        <v>68.636399999999995</v>
      </c>
      <c r="N12" s="3" t="str">
        <f t="shared" si="0"/>
        <v>60–80%</v>
      </c>
      <c r="O12" s="2">
        <v>8.1828439999999993</v>
      </c>
      <c r="P12" s="2" t="str">
        <f t="shared" si="1"/>
        <v>5–10 km/h</v>
      </c>
      <c r="Q12" s="2">
        <v>43</v>
      </c>
      <c r="R12" s="2">
        <v>1220</v>
      </c>
      <c r="S12" s="2">
        <v>1263</v>
      </c>
    </row>
    <row r="13" spans="1:19" x14ac:dyDescent="0.3">
      <c r="A13" s="2">
        <v>12</v>
      </c>
      <c r="B13" s="1">
        <v>43435</v>
      </c>
      <c r="C13" t="s">
        <v>907</v>
      </c>
      <c r="D13">
        <v>2018</v>
      </c>
      <c r="E13" t="s">
        <v>921</v>
      </c>
      <c r="F13" t="s">
        <v>908</v>
      </c>
      <c r="G13" t="s">
        <v>912</v>
      </c>
      <c r="H13" t="s">
        <v>909</v>
      </c>
      <c r="I13" t="s">
        <v>917</v>
      </c>
      <c r="J13" s="2">
        <v>7.0818070000000004</v>
      </c>
      <c r="K13" s="2">
        <v>8.0236499999999999</v>
      </c>
      <c r="L13" s="2" t="str">
        <f t="shared" si="2"/>
        <v>5–10°C</v>
      </c>
      <c r="M13" s="3">
        <v>59.954500000000003</v>
      </c>
      <c r="N13" s="3" t="str">
        <f t="shared" si="0"/>
        <v>40–60%</v>
      </c>
      <c r="O13" s="2">
        <v>20.410008999999999</v>
      </c>
      <c r="P13" s="2" t="str">
        <f t="shared" si="1"/>
        <v>20–25 km/h</v>
      </c>
      <c r="Q13" s="2">
        <v>25</v>
      </c>
      <c r="R13" s="2">
        <v>1137</v>
      </c>
      <c r="S13" s="2">
        <v>1162</v>
      </c>
    </row>
    <row r="14" spans="1:19" x14ac:dyDescent="0.3">
      <c r="A14" s="2">
        <v>13</v>
      </c>
      <c r="B14" s="1" t="s">
        <v>461</v>
      </c>
      <c r="C14" t="s">
        <v>907</v>
      </c>
      <c r="D14">
        <v>2018</v>
      </c>
      <c r="E14" t="s">
        <v>921</v>
      </c>
      <c r="F14" t="s">
        <v>908</v>
      </c>
      <c r="G14" t="s">
        <v>913</v>
      </c>
      <c r="H14" t="s">
        <v>909</v>
      </c>
      <c r="I14" t="s">
        <v>917</v>
      </c>
      <c r="J14" s="2">
        <v>6.7649999999999997</v>
      </c>
      <c r="K14" s="2">
        <v>7.5441500000000001</v>
      </c>
      <c r="L14" s="2" t="str">
        <f t="shared" si="2"/>
        <v>5–10°C</v>
      </c>
      <c r="M14" s="3">
        <v>47.041699999999999</v>
      </c>
      <c r="N14" s="3" t="str">
        <f t="shared" si="0"/>
        <v>40–60%</v>
      </c>
      <c r="O14" s="2">
        <v>20.167000000000002</v>
      </c>
      <c r="P14" s="2" t="str">
        <f t="shared" si="1"/>
        <v>20–25 km/h</v>
      </c>
      <c r="Q14" s="2">
        <v>38</v>
      </c>
      <c r="R14" s="2">
        <v>1368</v>
      </c>
      <c r="S14" s="2">
        <v>1406</v>
      </c>
    </row>
    <row r="15" spans="1:19" x14ac:dyDescent="0.3">
      <c r="A15" s="2">
        <v>14</v>
      </c>
      <c r="B15" s="1" t="s">
        <v>462</v>
      </c>
      <c r="C15" t="s">
        <v>907</v>
      </c>
      <c r="D15">
        <v>2018</v>
      </c>
      <c r="E15" t="s">
        <v>921</v>
      </c>
      <c r="F15" t="s">
        <v>908</v>
      </c>
      <c r="G15" t="s">
        <v>914</v>
      </c>
      <c r="H15" t="s">
        <v>909</v>
      </c>
      <c r="I15" t="s">
        <v>917</v>
      </c>
      <c r="J15" s="2">
        <v>6.5956700000000001</v>
      </c>
      <c r="K15" s="2">
        <v>9.4206500000000002</v>
      </c>
      <c r="L15" s="2" t="str">
        <f t="shared" si="2"/>
        <v>5–10°C</v>
      </c>
      <c r="M15" s="3">
        <v>53.782600000000002</v>
      </c>
      <c r="N15" s="3" t="str">
        <f t="shared" si="0"/>
        <v>40–60%</v>
      </c>
      <c r="O15" s="2">
        <v>8.4787160000000004</v>
      </c>
      <c r="P15" s="2" t="str">
        <f t="shared" si="1"/>
        <v>5–10 km/h</v>
      </c>
      <c r="Q15" s="2">
        <v>54</v>
      </c>
      <c r="R15" s="2">
        <v>1367</v>
      </c>
      <c r="S15" s="2">
        <v>1421</v>
      </c>
    </row>
    <row r="16" spans="1:19" x14ac:dyDescent="0.3">
      <c r="A16" s="2">
        <v>15</v>
      </c>
      <c r="B16" s="1" t="s">
        <v>463</v>
      </c>
      <c r="C16" t="s">
        <v>907</v>
      </c>
      <c r="D16">
        <v>2018</v>
      </c>
      <c r="E16" t="s">
        <v>921</v>
      </c>
      <c r="F16" t="s">
        <v>908</v>
      </c>
      <c r="G16" t="s">
        <v>915</v>
      </c>
      <c r="H16" t="s">
        <v>908</v>
      </c>
      <c r="I16" t="s">
        <v>918</v>
      </c>
      <c r="J16" s="2">
        <v>9.5666530000000005</v>
      </c>
      <c r="K16" s="2">
        <v>12.4056</v>
      </c>
      <c r="L16" s="2" t="str">
        <f t="shared" si="2"/>
        <v>10–15°C</v>
      </c>
      <c r="M16" s="3">
        <v>49.875</v>
      </c>
      <c r="N16" s="3" t="str">
        <f t="shared" si="0"/>
        <v>40–60%</v>
      </c>
      <c r="O16" s="2">
        <v>10.583520999999999</v>
      </c>
      <c r="P16" s="2" t="str">
        <f t="shared" si="1"/>
        <v>10–15 km/h</v>
      </c>
      <c r="Q16" s="2">
        <v>222</v>
      </c>
      <c r="R16" s="2">
        <v>1026</v>
      </c>
      <c r="S16" s="2">
        <v>1248</v>
      </c>
    </row>
    <row r="17" spans="1:19" x14ac:dyDescent="0.3">
      <c r="A17" s="2">
        <v>16</v>
      </c>
      <c r="B17" s="1" t="s">
        <v>464</v>
      </c>
      <c r="C17" t="s">
        <v>907</v>
      </c>
      <c r="D17">
        <v>2018</v>
      </c>
      <c r="E17" t="s">
        <v>921</v>
      </c>
      <c r="F17" t="s">
        <v>908</v>
      </c>
      <c r="G17" t="s">
        <v>916</v>
      </c>
      <c r="H17" t="s">
        <v>908</v>
      </c>
      <c r="I17" t="s">
        <v>917</v>
      </c>
      <c r="J17" s="2">
        <v>9.4983470000000008</v>
      </c>
      <c r="K17" s="2">
        <v>11.710850000000001</v>
      </c>
      <c r="L17" s="2" t="str">
        <f t="shared" si="2"/>
        <v>10–15°C</v>
      </c>
      <c r="M17" s="3">
        <v>48.375</v>
      </c>
      <c r="N17" s="3" t="str">
        <f t="shared" si="0"/>
        <v>40–60%</v>
      </c>
      <c r="O17" s="2">
        <v>12.625011000000001</v>
      </c>
      <c r="P17" s="2" t="str">
        <f t="shared" si="1"/>
        <v>10–15 km/h</v>
      </c>
      <c r="Q17" s="2">
        <v>251</v>
      </c>
      <c r="R17" s="2">
        <v>953</v>
      </c>
      <c r="S17" s="2">
        <v>1204</v>
      </c>
    </row>
    <row r="18" spans="1:19" x14ac:dyDescent="0.3">
      <c r="A18" s="2">
        <v>17</v>
      </c>
      <c r="B18" s="1" t="s">
        <v>465</v>
      </c>
      <c r="C18" t="s">
        <v>907</v>
      </c>
      <c r="D18">
        <v>2018</v>
      </c>
      <c r="E18" t="s">
        <v>921</v>
      </c>
      <c r="F18" t="s">
        <v>909</v>
      </c>
      <c r="G18" t="s">
        <v>910</v>
      </c>
      <c r="H18" t="s">
        <v>908</v>
      </c>
      <c r="I18" t="s">
        <v>918</v>
      </c>
      <c r="J18" s="2">
        <v>7.2091529999999997</v>
      </c>
      <c r="K18" s="2">
        <v>8.8385499999999997</v>
      </c>
      <c r="L18" s="2" t="str">
        <f t="shared" si="2"/>
        <v>5–10°C</v>
      </c>
      <c r="M18" s="3">
        <v>53.75</v>
      </c>
      <c r="N18" s="3" t="str">
        <f t="shared" si="0"/>
        <v>40–60%</v>
      </c>
      <c r="O18" s="2">
        <v>12.999139</v>
      </c>
      <c r="P18" s="2" t="str">
        <f t="shared" si="1"/>
        <v>10–15 km/h</v>
      </c>
      <c r="Q18" s="2">
        <v>117</v>
      </c>
      <c r="R18" s="2">
        <v>883</v>
      </c>
      <c r="S18" s="2">
        <v>1000</v>
      </c>
    </row>
    <row r="19" spans="1:19" x14ac:dyDescent="0.3">
      <c r="A19" s="2">
        <v>18</v>
      </c>
      <c r="B19" s="1" t="s">
        <v>466</v>
      </c>
      <c r="C19" t="s">
        <v>907</v>
      </c>
      <c r="D19">
        <v>2018</v>
      </c>
      <c r="E19" t="s">
        <v>921</v>
      </c>
      <c r="F19" t="s">
        <v>908</v>
      </c>
      <c r="G19" t="s">
        <v>911</v>
      </c>
      <c r="H19" t="s">
        <v>909</v>
      </c>
      <c r="I19" t="s">
        <v>918</v>
      </c>
      <c r="J19" s="2">
        <v>8.8833470000000005</v>
      </c>
      <c r="K19" s="2">
        <v>11.61665</v>
      </c>
      <c r="L19" s="2" t="str">
        <f t="shared" si="2"/>
        <v>10–15°C</v>
      </c>
      <c r="M19" s="3">
        <v>86.166700000000006</v>
      </c>
      <c r="N19" s="3" t="str">
        <f t="shared" si="0"/>
        <v>80–100%</v>
      </c>
      <c r="O19" s="2">
        <v>9.8339250000000007</v>
      </c>
      <c r="P19" s="2" t="str">
        <f t="shared" si="1"/>
        <v>5–10 km/h</v>
      </c>
      <c r="Q19" s="2">
        <v>9</v>
      </c>
      <c r="R19" s="2">
        <v>674</v>
      </c>
      <c r="S19" s="2">
        <v>683</v>
      </c>
    </row>
    <row r="20" spans="1:19" x14ac:dyDescent="0.3">
      <c r="A20" s="2">
        <v>19</v>
      </c>
      <c r="B20" s="1" t="s">
        <v>467</v>
      </c>
      <c r="C20" t="s">
        <v>907</v>
      </c>
      <c r="D20">
        <v>2018</v>
      </c>
      <c r="E20" t="s">
        <v>921</v>
      </c>
      <c r="F20" t="s">
        <v>908</v>
      </c>
      <c r="G20" t="s">
        <v>912</v>
      </c>
      <c r="H20" t="s">
        <v>909</v>
      </c>
      <c r="I20" t="s">
        <v>918</v>
      </c>
      <c r="J20" s="2">
        <v>11.979134</v>
      </c>
      <c r="K20" s="2">
        <v>14.921099999999999</v>
      </c>
      <c r="L20" s="2" t="str">
        <f t="shared" si="2"/>
        <v>10–15°C</v>
      </c>
      <c r="M20" s="3">
        <v>74.173900000000003</v>
      </c>
      <c r="N20" s="3" t="str">
        <f t="shared" si="0"/>
        <v>60–80%</v>
      </c>
      <c r="O20" s="2">
        <v>13.957239</v>
      </c>
      <c r="P20" s="2" t="str">
        <f t="shared" si="1"/>
        <v>10–15 km/h</v>
      </c>
      <c r="Q20" s="2">
        <v>78</v>
      </c>
      <c r="R20" s="2">
        <v>1572</v>
      </c>
      <c r="S20" s="2">
        <v>1650</v>
      </c>
    </row>
    <row r="21" spans="1:19" x14ac:dyDescent="0.3">
      <c r="A21" s="2">
        <v>20</v>
      </c>
      <c r="B21" s="1" t="s">
        <v>468</v>
      </c>
      <c r="C21" t="s">
        <v>907</v>
      </c>
      <c r="D21">
        <v>2018</v>
      </c>
      <c r="E21" t="s">
        <v>921</v>
      </c>
      <c r="F21" t="s">
        <v>908</v>
      </c>
      <c r="G21" t="s">
        <v>913</v>
      </c>
      <c r="H21" t="s">
        <v>909</v>
      </c>
      <c r="I21" t="s">
        <v>918</v>
      </c>
      <c r="J21" s="2">
        <v>10.728346999999999</v>
      </c>
      <c r="K21" s="2">
        <v>12.7525</v>
      </c>
      <c r="L21" s="2" t="str">
        <f t="shared" si="2"/>
        <v>10–15°C</v>
      </c>
      <c r="M21" s="3">
        <v>53.833300000000001</v>
      </c>
      <c r="N21" s="3" t="str">
        <f t="shared" si="0"/>
        <v>40–60%</v>
      </c>
      <c r="O21" s="2">
        <v>13.125567999999999</v>
      </c>
      <c r="P21" s="2" t="str">
        <f t="shared" si="1"/>
        <v>10–15 km/h</v>
      </c>
      <c r="Q21" s="2">
        <v>83</v>
      </c>
      <c r="R21" s="2">
        <v>1844</v>
      </c>
      <c r="S21" s="2">
        <v>1927</v>
      </c>
    </row>
    <row r="22" spans="1:19" x14ac:dyDescent="0.3">
      <c r="A22" s="2">
        <v>21</v>
      </c>
      <c r="B22" s="1" t="s">
        <v>469</v>
      </c>
      <c r="C22" t="s">
        <v>907</v>
      </c>
      <c r="D22">
        <v>2018</v>
      </c>
      <c r="E22" t="s">
        <v>921</v>
      </c>
      <c r="F22" t="s">
        <v>908</v>
      </c>
      <c r="G22" t="s">
        <v>914</v>
      </c>
      <c r="H22" t="s">
        <v>909</v>
      </c>
      <c r="I22" t="s">
        <v>917</v>
      </c>
      <c r="J22" s="2">
        <v>7.2774999999999999</v>
      </c>
      <c r="K22" s="2">
        <v>7.8916500000000003</v>
      </c>
      <c r="L22" s="2" t="str">
        <f t="shared" si="2"/>
        <v>5–10°C</v>
      </c>
      <c r="M22" s="3">
        <v>45.708300000000001</v>
      </c>
      <c r="N22" s="3" t="str">
        <f t="shared" si="0"/>
        <v>40–60%</v>
      </c>
      <c r="O22" s="2">
        <v>23.667214000000001</v>
      </c>
      <c r="P22" s="2" t="str">
        <f t="shared" si="1"/>
        <v>20–25 km/h</v>
      </c>
      <c r="Q22" s="2">
        <v>75</v>
      </c>
      <c r="R22" s="2">
        <v>1468</v>
      </c>
      <c r="S22" s="2">
        <v>1543</v>
      </c>
    </row>
    <row r="23" spans="1:19" x14ac:dyDescent="0.3">
      <c r="A23" s="2">
        <v>22</v>
      </c>
      <c r="B23" s="1" t="s">
        <v>470</v>
      </c>
      <c r="C23" t="s">
        <v>907</v>
      </c>
      <c r="D23">
        <v>2018</v>
      </c>
      <c r="E23" t="s">
        <v>921</v>
      </c>
      <c r="F23" t="s">
        <v>908</v>
      </c>
      <c r="G23" t="s">
        <v>915</v>
      </c>
      <c r="H23" t="s">
        <v>908</v>
      </c>
      <c r="I23" t="s">
        <v>917</v>
      </c>
      <c r="J23" s="2">
        <v>2.4243464000000001</v>
      </c>
      <c r="K23" s="2">
        <v>3.9534799999999999</v>
      </c>
      <c r="L23" s="2" t="str">
        <f t="shared" si="2"/>
        <v>0–5°C</v>
      </c>
      <c r="M23" s="3">
        <v>40</v>
      </c>
      <c r="N23" s="3" t="str">
        <f t="shared" si="0"/>
        <v>40–60%</v>
      </c>
      <c r="O23" s="2">
        <v>11.521990000000001</v>
      </c>
      <c r="P23" s="2" t="str">
        <f t="shared" si="1"/>
        <v>10–15 km/h</v>
      </c>
      <c r="Q23" s="2">
        <v>93</v>
      </c>
      <c r="R23" s="2">
        <v>888</v>
      </c>
      <c r="S23" s="2">
        <v>981</v>
      </c>
    </row>
    <row r="24" spans="1:19" x14ac:dyDescent="0.3">
      <c r="A24" s="2">
        <v>23</v>
      </c>
      <c r="B24" s="1" t="s">
        <v>471</v>
      </c>
      <c r="C24" t="s">
        <v>907</v>
      </c>
      <c r="D24">
        <v>2018</v>
      </c>
      <c r="E24" t="s">
        <v>921</v>
      </c>
      <c r="F24" t="s">
        <v>908</v>
      </c>
      <c r="G24" t="s">
        <v>916</v>
      </c>
      <c r="H24" t="s">
        <v>908</v>
      </c>
      <c r="I24" t="s">
        <v>917</v>
      </c>
      <c r="J24" s="2">
        <v>3.9573896999999998</v>
      </c>
      <c r="K24" s="2">
        <v>4.9419550000000001</v>
      </c>
      <c r="L24" s="2" t="str">
        <f t="shared" si="2"/>
        <v>0–5°C</v>
      </c>
      <c r="M24" s="3">
        <v>43.652200000000001</v>
      </c>
      <c r="N24" s="3" t="str">
        <f t="shared" si="0"/>
        <v>40–60%</v>
      </c>
      <c r="O24" s="2">
        <v>16.522200000000002</v>
      </c>
      <c r="P24" s="2" t="str">
        <f t="shared" si="1"/>
        <v>15–20 km/h</v>
      </c>
      <c r="Q24" s="2">
        <v>150</v>
      </c>
      <c r="R24" s="2">
        <v>836</v>
      </c>
      <c r="S24" s="2">
        <v>986</v>
      </c>
    </row>
    <row r="25" spans="1:19" x14ac:dyDescent="0.3">
      <c r="A25" s="2">
        <v>24</v>
      </c>
      <c r="B25" s="1" t="s">
        <v>472</v>
      </c>
      <c r="C25" t="s">
        <v>907</v>
      </c>
      <c r="D25">
        <v>2018</v>
      </c>
      <c r="E25" t="s">
        <v>921</v>
      </c>
      <c r="F25" t="s">
        <v>908</v>
      </c>
      <c r="G25" t="s">
        <v>910</v>
      </c>
      <c r="H25" t="s">
        <v>909</v>
      </c>
      <c r="I25" t="s">
        <v>917</v>
      </c>
      <c r="J25" s="2">
        <v>3.9930433000000001</v>
      </c>
      <c r="K25" s="2">
        <v>5.8964999999999996</v>
      </c>
      <c r="L25" s="2" t="str">
        <f t="shared" si="2"/>
        <v>5–10°C</v>
      </c>
      <c r="M25" s="3">
        <v>49.173900000000003</v>
      </c>
      <c r="N25" s="3" t="str">
        <f t="shared" si="0"/>
        <v>40–60%</v>
      </c>
      <c r="O25" s="2">
        <v>10.60811</v>
      </c>
      <c r="P25" s="2" t="str">
        <f t="shared" si="1"/>
        <v>10–15 km/h</v>
      </c>
      <c r="Q25" s="2">
        <v>86</v>
      </c>
      <c r="R25" s="2">
        <v>1330</v>
      </c>
      <c r="S25" s="2">
        <v>1416</v>
      </c>
    </row>
    <row r="26" spans="1:19" x14ac:dyDescent="0.3">
      <c r="A26" s="2">
        <v>25</v>
      </c>
      <c r="B26" s="1" t="s">
        <v>473</v>
      </c>
      <c r="C26" t="s">
        <v>907</v>
      </c>
      <c r="D26">
        <v>2018</v>
      </c>
      <c r="E26" t="s">
        <v>921</v>
      </c>
      <c r="F26" t="s">
        <v>908</v>
      </c>
      <c r="G26" t="s">
        <v>911</v>
      </c>
      <c r="H26" t="s">
        <v>909</v>
      </c>
      <c r="I26" t="s">
        <v>918</v>
      </c>
      <c r="J26" s="2">
        <v>9.1625979999999991</v>
      </c>
      <c r="K26" s="2">
        <v>11.7263</v>
      </c>
      <c r="L26" s="2" t="str">
        <f t="shared" si="2"/>
        <v>10–15°C</v>
      </c>
      <c r="M26" s="3">
        <v>61.695700000000002</v>
      </c>
      <c r="N26" s="3" t="str">
        <f t="shared" si="0"/>
        <v>60–80%</v>
      </c>
      <c r="O26" s="2">
        <v>8.696332</v>
      </c>
      <c r="P26" s="2" t="str">
        <f t="shared" si="1"/>
        <v>5–10 km/h</v>
      </c>
      <c r="Q26" s="2">
        <v>186</v>
      </c>
      <c r="R26" s="2">
        <v>1799</v>
      </c>
      <c r="S26" s="2">
        <v>1985</v>
      </c>
    </row>
    <row r="27" spans="1:19" x14ac:dyDescent="0.3">
      <c r="A27" s="2">
        <v>26</v>
      </c>
      <c r="B27" s="1" t="s">
        <v>474</v>
      </c>
      <c r="C27" t="s">
        <v>907</v>
      </c>
      <c r="D27">
        <v>2018</v>
      </c>
      <c r="E27" t="s">
        <v>921</v>
      </c>
      <c r="F27" t="s">
        <v>908</v>
      </c>
      <c r="G27" t="s">
        <v>912</v>
      </c>
      <c r="H27" t="s">
        <v>909</v>
      </c>
      <c r="I27" t="s">
        <v>919</v>
      </c>
      <c r="J27" s="2">
        <v>8.9175000000000004</v>
      </c>
      <c r="K27" s="2">
        <v>10.18</v>
      </c>
      <c r="L27" s="2" t="str">
        <f t="shared" si="2"/>
        <v>10–15°C</v>
      </c>
      <c r="M27" s="3">
        <v>86.25</v>
      </c>
      <c r="N27" s="3" t="str">
        <f t="shared" si="0"/>
        <v>80–100%</v>
      </c>
      <c r="O27" s="2">
        <v>19.687950000000001</v>
      </c>
      <c r="P27" s="2" t="str">
        <f t="shared" si="1"/>
        <v>15–20 km/h</v>
      </c>
      <c r="Q27" s="2">
        <v>34</v>
      </c>
      <c r="R27" s="2">
        <v>472</v>
      </c>
      <c r="S27" s="2">
        <v>506</v>
      </c>
    </row>
    <row r="28" spans="1:19" x14ac:dyDescent="0.3">
      <c r="A28" s="2">
        <v>27</v>
      </c>
      <c r="B28" s="1" t="s">
        <v>475</v>
      </c>
      <c r="C28" t="s">
        <v>907</v>
      </c>
      <c r="D28">
        <v>2018</v>
      </c>
      <c r="E28" t="s">
        <v>921</v>
      </c>
      <c r="F28" t="s">
        <v>908</v>
      </c>
      <c r="G28" t="s">
        <v>913</v>
      </c>
      <c r="H28" t="s">
        <v>909</v>
      </c>
      <c r="I28" t="s">
        <v>917</v>
      </c>
      <c r="J28" s="2">
        <v>7.9950000000000001</v>
      </c>
      <c r="K28" s="2">
        <v>10.984999999999999</v>
      </c>
      <c r="L28" s="2" t="str">
        <f t="shared" si="2"/>
        <v>10–15°C</v>
      </c>
      <c r="M28" s="3">
        <v>68.75</v>
      </c>
      <c r="N28" s="3" t="str">
        <f t="shared" si="0"/>
        <v>60–80%</v>
      </c>
      <c r="O28" s="2">
        <v>7.6270790000000002</v>
      </c>
      <c r="P28" s="2" t="str">
        <f t="shared" si="1"/>
        <v>5–10 km/h</v>
      </c>
      <c r="Q28" s="2">
        <v>15</v>
      </c>
      <c r="R28" s="2">
        <v>416</v>
      </c>
      <c r="S28" s="2">
        <v>431</v>
      </c>
    </row>
    <row r="29" spans="1:19" x14ac:dyDescent="0.3">
      <c r="A29" s="2">
        <v>28</v>
      </c>
      <c r="B29" s="1" t="s">
        <v>476</v>
      </c>
      <c r="C29" t="s">
        <v>907</v>
      </c>
      <c r="D29">
        <v>2018</v>
      </c>
      <c r="E29" t="s">
        <v>921</v>
      </c>
      <c r="F29" t="s">
        <v>908</v>
      </c>
      <c r="G29" t="s">
        <v>914</v>
      </c>
      <c r="H29" t="s">
        <v>909</v>
      </c>
      <c r="I29" t="s">
        <v>918</v>
      </c>
      <c r="J29" s="2">
        <v>8.3425980000000006</v>
      </c>
      <c r="K29" s="2">
        <v>11.165850000000001</v>
      </c>
      <c r="L29" s="2" t="str">
        <f t="shared" si="2"/>
        <v>10–15°C</v>
      </c>
      <c r="M29" s="3">
        <v>79.304299999999998</v>
      </c>
      <c r="N29" s="3" t="str">
        <f t="shared" si="0"/>
        <v>60–80%</v>
      </c>
      <c r="O29" s="2">
        <v>8.2611000000000008</v>
      </c>
      <c r="P29" s="2" t="str">
        <f t="shared" si="1"/>
        <v>5–10 km/h</v>
      </c>
      <c r="Q29" s="2">
        <v>38</v>
      </c>
      <c r="R29" s="2">
        <v>1129</v>
      </c>
      <c r="S29" s="2">
        <v>1167</v>
      </c>
    </row>
    <row r="30" spans="1:19" x14ac:dyDescent="0.3">
      <c r="A30" s="2">
        <v>29</v>
      </c>
      <c r="B30" s="1" t="s">
        <v>477</v>
      </c>
      <c r="C30" t="s">
        <v>907</v>
      </c>
      <c r="D30">
        <v>2018</v>
      </c>
      <c r="E30" t="s">
        <v>921</v>
      </c>
      <c r="F30" t="s">
        <v>908</v>
      </c>
      <c r="G30" t="s">
        <v>915</v>
      </c>
      <c r="H30" t="s">
        <v>908</v>
      </c>
      <c r="I30" t="s">
        <v>917</v>
      </c>
      <c r="J30" s="2">
        <v>8.0574019999999997</v>
      </c>
      <c r="K30" s="2">
        <v>10.606299999999999</v>
      </c>
      <c r="L30" s="2" t="str">
        <f t="shared" si="2"/>
        <v>10–15°C</v>
      </c>
      <c r="M30" s="3">
        <v>65.173900000000003</v>
      </c>
      <c r="N30" s="3" t="str">
        <f t="shared" si="0"/>
        <v>60–80%</v>
      </c>
      <c r="O30" s="2">
        <v>9.7394549999999995</v>
      </c>
      <c r="P30" s="2" t="str">
        <f t="shared" si="1"/>
        <v>5–10 km/h</v>
      </c>
      <c r="Q30" s="2">
        <v>123</v>
      </c>
      <c r="R30" s="2">
        <v>975</v>
      </c>
      <c r="S30" s="2">
        <v>1098</v>
      </c>
    </row>
    <row r="31" spans="1:19" x14ac:dyDescent="0.3">
      <c r="A31" s="2">
        <v>30</v>
      </c>
      <c r="B31" s="1" t="s">
        <v>478</v>
      </c>
      <c r="C31" t="s">
        <v>907</v>
      </c>
      <c r="D31">
        <v>2018</v>
      </c>
      <c r="E31" t="s">
        <v>921</v>
      </c>
      <c r="F31" t="s">
        <v>908</v>
      </c>
      <c r="G31" t="s">
        <v>916</v>
      </c>
      <c r="H31" t="s">
        <v>908</v>
      </c>
      <c r="I31" t="s">
        <v>917</v>
      </c>
      <c r="J31" s="2">
        <v>8.877402</v>
      </c>
      <c r="K31" s="2">
        <v>12.5161</v>
      </c>
      <c r="L31" s="2" t="str">
        <f t="shared" si="2"/>
        <v>10–15°C</v>
      </c>
      <c r="M31" s="3">
        <v>72.217399999999998</v>
      </c>
      <c r="N31" s="3" t="str">
        <f t="shared" si="0"/>
        <v>60–80%</v>
      </c>
      <c r="O31" s="2">
        <v>4.9568342000000003</v>
      </c>
      <c r="P31" s="2" t="str">
        <f t="shared" si="1"/>
        <v>0–5 km/h</v>
      </c>
      <c r="Q31" s="2">
        <v>140</v>
      </c>
      <c r="R31" s="2">
        <v>956</v>
      </c>
      <c r="S31" s="2">
        <v>1096</v>
      </c>
    </row>
    <row r="32" spans="1:19" x14ac:dyDescent="0.3">
      <c r="A32" s="2">
        <v>31</v>
      </c>
      <c r="B32" s="1" t="s">
        <v>479</v>
      </c>
      <c r="C32" t="s">
        <v>907</v>
      </c>
      <c r="D32">
        <v>2018</v>
      </c>
      <c r="E32" t="s">
        <v>921</v>
      </c>
      <c r="F32" t="s">
        <v>908</v>
      </c>
      <c r="G32" t="s">
        <v>910</v>
      </c>
      <c r="H32" t="s">
        <v>909</v>
      </c>
      <c r="I32" t="s">
        <v>918</v>
      </c>
      <c r="J32" s="2">
        <v>7.4141529999999998</v>
      </c>
      <c r="K32" s="2">
        <v>9.3125</v>
      </c>
      <c r="L32" s="2" t="str">
        <f t="shared" si="2"/>
        <v>5–10°C</v>
      </c>
      <c r="M32" s="3">
        <v>60.375</v>
      </c>
      <c r="N32" s="3" t="str">
        <f t="shared" si="0"/>
        <v>60–80%</v>
      </c>
      <c r="O32" s="2">
        <v>12.541864</v>
      </c>
      <c r="P32" s="2" t="str">
        <f t="shared" si="1"/>
        <v>10–15 km/h</v>
      </c>
      <c r="Q32" s="2">
        <v>42</v>
      </c>
      <c r="R32" s="2">
        <v>1459</v>
      </c>
      <c r="S32" s="2">
        <v>1501</v>
      </c>
    </row>
    <row r="33" spans="1:19" x14ac:dyDescent="0.3">
      <c r="A33" s="2">
        <v>32</v>
      </c>
      <c r="B33" s="1">
        <v>43102</v>
      </c>
      <c r="C33" t="s">
        <v>907</v>
      </c>
      <c r="D33">
        <v>2018</v>
      </c>
      <c r="E33" t="s">
        <v>932</v>
      </c>
      <c r="F33" t="s">
        <v>908</v>
      </c>
      <c r="G33" t="s">
        <v>911</v>
      </c>
      <c r="H33" t="s">
        <v>909</v>
      </c>
      <c r="I33" t="s">
        <v>918</v>
      </c>
      <c r="J33" s="2">
        <v>7.8791339999999996</v>
      </c>
      <c r="K33" s="2">
        <v>11.7265</v>
      </c>
      <c r="L33" s="2" t="str">
        <f t="shared" si="2"/>
        <v>10–15°C</v>
      </c>
      <c r="M33" s="3">
        <v>82.956500000000005</v>
      </c>
      <c r="N33" s="3" t="str">
        <f t="shared" si="0"/>
        <v>80–100%</v>
      </c>
      <c r="O33" s="2">
        <v>3.5652710000000001</v>
      </c>
      <c r="P33" s="2" t="str">
        <f t="shared" si="1"/>
        <v>0–5 km/h</v>
      </c>
      <c r="Q33" s="2">
        <v>47</v>
      </c>
      <c r="R33" s="2">
        <v>1313</v>
      </c>
      <c r="S33" s="2">
        <v>1360</v>
      </c>
    </row>
    <row r="34" spans="1:19" x14ac:dyDescent="0.3">
      <c r="A34" s="2">
        <v>33</v>
      </c>
      <c r="B34" s="1">
        <v>43133</v>
      </c>
      <c r="C34" t="s">
        <v>907</v>
      </c>
      <c r="D34">
        <v>2018</v>
      </c>
      <c r="E34" t="s">
        <v>932</v>
      </c>
      <c r="F34" t="s">
        <v>908</v>
      </c>
      <c r="G34" t="s">
        <v>912</v>
      </c>
      <c r="H34" t="s">
        <v>909</v>
      </c>
      <c r="I34" t="s">
        <v>918</v>
      </c>
      <c r="J34" s="2">
        <v>10.66</v>
      </c>
      <c r="K34" s="2">
        <v>12.72085</v>
      </c>
      <c r="L34" s="2" t="str">
        <f t="shared" si="2"/>
        <v>10–15°C</v>
      </c>
      <c r="M34" s="3">
        <v>77.541700000000006</v>
      </c>
      <c r="N34" s="3" t="str">
        <f t="shared" si="0"/>
        <v>60–80%</v>
      </c>
      <c r="O34" s="2">
        <v>17.708635999999998</v>
      </c>
      <c r="P34" s="2" t="str">
        <f t="shared" si="1"/>
        <v>15–20 km/h</v>
      </c>
      <c r="Q34" s="2">
        <v>72</v>
      </c>
      <c r="R34" s="2">
        <v>1454</v>
      </c>
      <c r="S34" s="2">
        <v>1526</v>
      </c>
    </row>
    <row r="35" spans="1:19" x14ac:dyDescent="0.3">
      <c r="A35" s="2">
        <v>34</v>
      </c>
      <c r="B35" s="1">
        <v>43161</v>
      </c>
      <c r="C35" t="s">
        <v>907</v>
      </c>
      <c r="D35">
        <v>2018</v>
      </c>
      <c r="E35" t="s">
        <v>932</v>
      </c>
      <c r="F35" t="s">
        <v>908</v>
      </c>
      <c r="G35" t="s">
        <v>913</v>
      </c>
      <c r="H35" t="s">
        <v>909</v>
      </c>
      <c r="I35" t="s">
        <v>917</v>
      </c>
      <c r="J35" s="2">
        <v>7.6652370000000003</v>
      </c>
      <c r="K35" s="2">
        <v>8.8939000000000004</v>
      </c>
      <c r="L35" s="2" t="str">
        <f t="shared" si="2"/>
        <v>5–10°C</v>
      </c>
      <c r="M35" s="3">
        <v>43.782600000000002</v>
      </c>
      <c r="N35" s="3" t="str">
        <f t="shared" si="0"/>
        <v>40–60%</v>
      </c>
      <c r="O35" s="2">
        <v>18.609383999999999</v>
      </c>
      <c r="P35" s="2" t="str">
        <f t="shared" si="1"/>
        <v>15–20 km/h</v>
      </c>
      <c r="Q35" s="2">
        <v>61</v>
      </c>
      <c r="R35" s="2">
        <v>1489</v>
      </c>
      <c r="S35" s="2">
        <v>1550</v>
      </c>
    </row>
    <row r="36" spans="1:19" x14ac:dyDescent="0.3">
      <c r="A36" s="2">
        <v>35</v>
      </c>
      <c r="B36" s="1">
        <v>43192</v>
      </c>
      <c r="C36" t="s">
        <v>907</v>
      </c>
      <c r="D36">
        <v>2018</v>
      </c>
      <c r="E36" t="s">
        <v>932</v>
      </c>
      <c r="F36" t="s">
        <v>908</v>
      </c>
      <c r="G36" t="s">
        <v>914</v>
      </c>
      <c r="H36" t="s">
        <v>909</v>
      </c>
      <c r="I36" t="s">
        <v>918</v>
      </c>
      <c r="J36" s="2">
        <v>8.6634639999999994</v>
      </c>
      <c r="K36" s="2">
        <v>11.429349999999999</v>
      </c>
      <c r="L36" s="2" t="str">
        <f t="shared" si="2"/>
        <v>10–15°C</v>
      </c>
      <c r="M36" s="3">
        <v>58.521700000000003</v>
      </c>
      <c r="N36" s="3" t="str">
        <f t="shared" si="0"/>
        <v>40–60%</v>
      </c>
      <c r="O36" s="2">
        <v>8.565213</v>
      </c>
      <c r="P36" s="2" t="str">
        <f t="shared" si="1"/>
        <v>5–10 km/h</v>
      </c>
      <c r="Q36" s="2">
        <v>88</v>
      </c>
      <c r="R36" s="2">
        <v>1620</v>
      </c>
      <c r="S36" s="2">
        <v>1708</v>
      </c>
    </row>
    <row r="37" spans="1:19" x14ac:dyDescent="0.3">
      <c r="A37" s="2">
        <v>36</v>
      </c>
      <c r="B37" s="1">
        <v>43222</v>
      </c>
      <c r="C37" t="s">
        <v>907</v>
      </c>
      <c r="D37">
        <v>2018</v>
      </c>
      <c r="E37" t="s">
        <v>932</v>
      </c>
      <c r="F37" t="s">
        <v>908</v>
      </c>
      <c r="G37" t="s">
        <v>915</v>
      </c>
      <c r="H37" t="s">
        <v>908</v>
      </c>
      <c r="I37" t="s">
        <v>918</v>
      </c>
      <c r="J37" s="2">
        <v>9.5666530000000005</v>
      </c>
      <c r="K37" s="2">
        <v>12.152900000000001</v>
      </c>
      <c r="L37" s="2" t="str">
        <f t="shared" si="2"/>
        <v>10–15°C</v>
      </c>
      <c r="M37" s="3">
        <v>92.916700000000006</v>
      </c>
      <c r="N37" s="3" t="str">
        <f t="shared" si="0"/>
        <v>80–100%</v>
      </c>
      <c r="O37" s="2">
        <v>10.792293000000001</v>
      </c>
      <c r="P37" s="2" t="str">
        <f t="shared" si="1"/>
        <v>10–15 km/h</v>
      </c>
      <c r="Q37" s="2">
        <v>100</v>
      </c>
      <c r="R37" s="2">
        <v>905</v>
      </c>
      <c r="S37" s="2">
        <v>1005</v>
      </c>
    </row>
    <row r="38" spans="1:19" x14ac:dyDescent="0.3">
      <c r="A38" s="2">
        <v>37</v>
      </c>
      <c r="B38" s="1">
        <v>43253</v>
      </c>
      <c r="C38" t="s">
        <v>907</v>
      </c>
      <c r="D38">
        <v>2018</v>
      </c>
      <c r="E38" t="s">
        <v>932</v>
      </c>
      <c r="F38" t="s">
        <v>908</v>
      </c>
      <c r="G38" t="s">
        <v>916</v>
      </c>
      <c r="H38" t="s">
        <v>908</v>
      </c>
      <c r="I38" t="s">
        <v>917</v>
      </c>
      <c r="J38" s="2">
        <v>11.719153</v>
      </c>
      <c r="K38" s="2">
        <v>14.583550000000001</v>
      </c>
      <c r="L38" s="2" t="str">
        <f t="shared" si="2"/>
        <v>10–15°C</v>
      </c>
      <c r="M38" s="3">
        <v>56.833300000000001</v>
      </c>
      <c r="N38" s="3" t="str">
        <f t="shared" si="0"/>
        <v>40–60%</v>
      </c>
      <c r="O38" s="2">
        <v>9.5006000000000004</v>
      </c>
      <c r="P38" s="2" t="str">
        <f t="shared" si="1"/>
        <v>5–10 km/h</v>
      </c>
      <c r="Q38" s="2">
        <v>354</v>
      </c>
      <c r="R38" s="2">
        <v>1269</v>
      </c>
      <c r="S38" s="2">
        <v>1623</v>
      </c>
    </row>
    <row r="39" spans="1:19" x14ac:dyDescent="0.3">
      <c r="A39" s="2">
        <v>38</v>
      </c>
      <c r="B39" s="1">
        <v>43283</v>
      </c>
      <c r="C39" t="s">
        <v>907</v>
      </c>
      <c r="D39">
        <v>2018</v>
      </c>
      <c r="E39" t="s">
        <v>932</v>
      </c>
      <c r="F39" t="s">
        <v>908</v>
      </c>
      <c r="G39" t="s">
        <v>910</v>
      </c>
      <c r="H39" t="s">
        <v>909</v>
      </c>
      <c r="I39" t="s">
        <v>917</v>
      </c>
      <c r="J39" s="2">
        <v>11.138347</v>
      </c>
      <c r="K39" s="2">
        <v>15.1829</v>
      </c>
      <c r="L39" s="2" t="str">
        <f t="shared" si="2"/>
        <v>15–20°C</v>
      </c>
      <c r="M39" s="3">
        <v>73.833299999999994</v>
      </c>
      <c r="N39" s="3" t="str">
        <f t="shared" si="0"/>
        <v>60–80%</v>
      </c>
      <c r="O39" s="2">
        <v>3.0423561000000001</v>
      </c>
      <c r="P39" s="2" t="str">
        <f t="shared" si="1"/>
        <v>0–5 km/h</v>
      </c>
      <c r="Q39" s="2">
        <v>120</v>
      </c>
      <c r="R39" s="2">
        <v>1592</v>
      </c>
      <c r="S39" s="2">
        <v>1712</v>
      </c>
    </row>
    <row r="40" spans="1:19" x14ac:dyDescent="0.3">
      <c r="A40" s="2">
        <v>39</v>
      </c>
      <c r="B40" s="1">
        <v>43314</v>
      </c>
      <c r="C40" t="s">
        <v>907</v>
      </c>
      <c r="D40">
        <v>2018</v>
      </c>
      <c r="E40" t="s">
        <v>932</v>
      </c>
      <c r="F40" t="s">
        <v>908</v>
      </c>
      <c r="G40" t="s">
        <v>911</v>
      </c>
      <c r="H40" t="s">
        <v>909</v>
      </c>
      <c r="I40" t="s">
        <v>917</v>
      </c>
      <c r="J40" s="2">
        <v>9.0541529999999995</v>
      </c>
      <c r="K40" s="2">
        <v>9.9123000000000001</v>
      </c>
      <c r="L40" s="2" t="str">
        <f t="shared" si="2"/>
        <v>5–10°C</v>
      </c>
      <c r="M40" s="3">
        <v>53.791699999999999</v>
      </c>
      <c r="N40" s="3" t="str">
        <f t="shared" si="0"/>
        <v>40–60%</v>
      </c>
      <c r="O40" s="2">
        <v>24.25065</v>
      </c>
      <c r="P40" s="2" t="str">
        <f t="shared" si="1"/>
        <v>20–25 km/h</v>
      </c>
      <c r="Q40" s="2">
        <v>64</v>
      </c>
      <c r="R40" s="2">
        <v>1466</v>
      </c>
      <c r="S40" s="2">
        <v>1530</v>
      </c>
    </row>
    <row r="41" spans="1:19" x14ac:dyDescent="0.3">
      <c r="A41" s="2">
        <v>40</v>
      </c>
      <c r="B41" s="1">
        <v>43345</v>
      </c>
      <c r="C41" t="s">
        <v>907</v>
      </c>
      <c r="D41">
        <v>2018</v>
      </c>
      <c r="E41" t="s">
        <v>932</v>
      </c>
      <c r="F41" t="s">
        <v>908</v>
      </c>
      <c r="G41" t="s">
        <v>912</v>
      </c>
      <c r="H41" t="s">
        <v>909</v>
      </c>
      <c r="I41" t="s">
        <v>918</v>
      </c>
      <c r="J41" s="2">
        <v>5.526103</v>
      </c>
      <c r="K41" s="2">
        <v>7.2141500000000001</v>
      </c>
      <c r="L41" s="2" t="str">
        <f t="shared" si="2"/>
        <v>5–10°C</v>
      </c>
      <c r="M41" s="3">
        <v>49.478299999999997</v>
      </c>
      <c r="N41" s="3" t="str">
        <f t="shared" si="0"/>
        <v>40–60%</v>
      </c>
      <c r="O41" s="2">
        <v>12.652213</v>
      </c>
      <c r="P41" s="2" t="str">
        <f t="shared" si="1"/>
        <v>10–15 km/h</v>
      </c>
      <c r="Q41" s="2">
        <v>53</v>
      </c>
      <c r="R41" s="2">
        <v>1552</v>
      </c>
      <c r="S41" s="2">
        <v>1605</v>
      </c>
    </row>
    <row r="42" spans="1:19" x14ac:dyDescent="0.3">
      <c r="A42" s="2">
        <v>41</v>
      </c>
      <c r="B42" s="1">
        <v>43375</v>
      </c>
      <c r="C42" t="s">
        <v>907</v>
      </c>
      <c r="D42">
        <v>2018</v>
      </c>
      <c r="E42" t="s">
        <v>932</v>
      </c>
      <c r="F42" t="s">
        <v>908</v>
      </c>
      <c r="G42" t="s">
        <v>913</v>
      </c>
      <c r="H42" t="s">
        <v>909</v>
      </c>
      <c r="I42" t="s">
        <v>917</v>
      </c>
      <c r="J42" s="2">
        <v>5.9182680000000003</v>
      </c>
      <c r="K42" s="2">
        <v>7.4774000000000003</v>
      </c>
      <c r="L42" s="2" t="str">
        <f t="shared" si="2"/>
        <v>5–10°C</v>
      </c>
      <c r="M42" s="3">
        <v>43.739100000000001</v>
      </c>
      <c r="N42" s="3" t="str">
        <f t="shared" si="0"/>
        <v>40–60%</v>
      </c>
      <c r="O42" s="2">
        <v>14.869645</v>
      </c>
      <c r="P42" s="2" t="str">
        <f t="shared" si="1"/>
        <v>10–15 km/h</v>
      </c>
      <c r="Q42" s="2">
        <v>47</v>
      </c>
      <c r="R42" s="2">
        <v>1491</v>
      </c>
      <c r="S42" s="2">
        <v>1538</v>
      </c>
    </row>
    <row r="43" spans="1:19" x14ac:dyDescent="0.3">
      <c r="A43" s="2">
        <v>42</v>
      </c>
      <c r="B43" s="1">
        <v>43406</v>
      </c>
      <c r="C43" t="s">
        <v>907</v>
      </c>
      <c r="D43">
        <v>2018</v>
      </c>
      <c r="E43" t="s">
        <v>932</v>
      </c>
      <c r="F43" t="s">
        <v>908</v>
      </c>
      <c r="G43" t="s">
        <v>914</v>
      </c>
      <c r="H43" t="s">
        <v>909</v>
      </c>
      <c r="I43" t="s">
        <v>917</v>
      </c>
      <c r="J43" s="2">
        <v>7.7527309999999998</v>
      </c>
      <c r="K43" s="2">
        <v>10.67545</v>
      </c>
      <c r="L43" s="2" t="str">
        <f t="shared" si="2"/>
        <v>10–15°C</v>
      </c>
      <c r="M43" s="3">
        <v>50.636400000000002</v>
      </c>
      <c r="N43" s="3" t="str">
        <f t="shared" si="0"/>
        <v>40–60%</v>
      </c>
      <c r="O43" s="2">
        <v>7.27285</v>
      </c>
      <c r="P43" s="2" t="str">
        <f t="shared" si="1"/>
        <v>5–10 km/h</v>
      </c>
      <c r="Q43" s="2">
        <v>149</v>
      </c>
      <c r="R43" s="2">
        <v>1597</v>
      </c>
      <c r="S43" s="2">
        <v>1746</v>
      </c>
    </row>
    <row r="44" spans="1:19" x14ac:dyDescent="0.3">
      <c r="A44" s="2">
        <v>43</v>
      </c>
      <c r="B44" s="1">
        <v>43436</v>
      </c>
      <c r="C44" t="s">
        <v>907</v>
      </c>
      <c r="D44">
        <v>2018</v>
      </c>
      <c r="E44" t="s">
        <v>932</v>
      </c>
      <c r="F44" t="s">
        <v>908</v>
      </c>
      <c r="G44" t="s">
        <v>915</v>
      </c>
      <c r="H44" t="s">
        <v>908</v>
      </c>
      <c r="I44" t="s">
        <v>917</v>
      </c>
      <c r="J44" s="2">
        <v>9.1225000000000005</v>
      </c>
      <c r="K44" s="2">
        <v>11.6477</v>
      </c>
      <c r="L44" s="2" t="str">
        <f t="shared" si="2"/>
        <v>10–15°C</v>
      </c>
      <c r="M44" s="3">
        <v>54.416699999999999</v>
      </c>
      <c r="N44" s="3" t="str">
        <f t="shared" si="0"/>
        <v>40–60%</v>
      </c>
      <c r="O44" s="2">
        <v>13.625589</v>
      </c>
      <c r="P44" s="2" t="str">
        <f t="shared" si="1"/>
        <v>10–15 km/h</v>
      </c>
      <c r="Q44" s="2">
        <v>288</v>
      </c>
      <c r="R44" s="2">
        <v>1184</v>
      </c>
      <c r="S44" s="2">
        <v>1472</v>
      </c>
    </row>
    <row r="45" spans="1:19" x14ac:dyDescent="0.3">
      <c r="A45" s="2">
        <v>44</v>
      </c>
      <c r="B45" s="1" t="s">
        <v>480</v>
      </c>
      <c r="C45" t="s">
        <v>907</v>
      </c>
      <c r="D45">
        <v>2018</v>
      </c>
      <c r="E45" t="s">
        <v>932</v>
      </c>
      <c r="F45" t="s">
        <v>908</v>
      </c>
      <c r="G45" t="s">
        <v>916</v>
      </c>
      <c r="H45" t="s">
        <v>908</v>
      </c>
      <c r="I45" t="s">
        <v>917</v>
      </c>
      <c r="J45" s="2">
        <v>12.977402</v>
      </c>
      <c r="K45" s="2">
        <v>16.205649999999999</v>
      </c>
      <c r="L45" s="2" t="str">
        <f t="shared" si="2"/>
        <v>15–20°C</v>
      </c>
      <c r="M45" s="3">
        <v>45.739100000000001</v>
      </c>
      <c r="N45" s="3" t="str">
        <f t="shared" si="0"/>
        <v>40–60%</v>
      </c>
      <c r="O45" s="2">
        <v>17.479161000000001</v>
      </c>
      <c r="P45" s="2" t="str">
        <f t="shared" si="1"/>
        <v>15–20 km/h</v>
      </c>
      <c r="Q45" s="2">
        <v>397</v>
      </c>
      <c r="R45" s="2">
        <v>1192</v>
      </c>
      <c r="S45" s="2">
        <v>1589</v>
      </c>
    </row>
    <row r="46" spans="1:19" x14ac:dyDescent="0.3">
      <c r="A46" s="2">
        <v>45</v>
      </c>
      <c r="B46" s="1" t="s">
        <v>481</v>
      </c>
      <c r="C46" t="s">
        <v>907</v>
      </c>
      <c r="D46">
        <v>2018</v>
      </c>
      <c r="E46" t="s">
        <v>932</v>
      </c>
      <c r="F46" t="s">
        <v>908</v>
      </c>
      <c r="G46" t="s">
        <v>910</v>
      </c>
      <c r="H46" t="s">
        <v>909</v>
      </c>
      <c r="I46" t="s">
        <v>917</v>
      </c>
      <c r="J46" s="2">
        <v>17.015000000000001</v>
      </c>
      <c r="K46" s="2">
        <v>19.9175</v>
      </c>
      <c r="L46" s="2" t="str">
        <f t="shared" si="2"/>
        <v>15–20°C</v>
      </c>
      <c r="M46" s="3">
        <v>37.583300000000001</v>
      </c>
      <c r="N46" s="3" t="str">
        <f t="shared" si="0"/>
        <v>20–40%</v>
      </c>
      <c r="O46" s="2">
        <v>27.999835999999998</v>
      </c>
      <c r="P46" s="2" t="str">
        <f t="shared" si="1"/>
        <v>25–30 km/h</v>
      </c>
      <c r="Q46" s="2">
        <v>208</v>
      </c>
      <c r="R46" s="2">
        <v>1705</v>
      </c>
      <c r="S46" s="2">
        <v>1913</v>
      </c>
    </row>
    <row r="47" spans="1:19" x14ac:dyDescent="0.3">
      <c r="A47" s="2">
        <v>46</v>
      </c>
      <c r="B47" s="1" t="s">
        <v>482</v>
      </c>
      <c r="C47" t="s">
        <v>907</v>
      </c>
      <c r="D47">
        <v>2018</v>
      </c>
      <c r="E47" t="s">
        <v>932</v>
      </c>
      <c r="F47" t="s">
        <v>908</v>
      </c>
      <c r="G47" t="s">
        <v>911</v>
      </c>
      <c r="H47" t="s">
        <v>909</v>
      </c>
      <c r="I47" t="s">
        <v>917</v>
      </c>
      <c r="J47" s="2">
        <v>10.909566999999999</v>
      </c>
      <c r="K47" s="2">
        <v>12.713699999999999</v>
      </c>
      <c r="L47" s="2" t="str">
        <f t="shared" si="2"/>
        <v>10–15°C</v>
      </c>
      <c r="M47" s="3">
        <v>31.434799999999999</v>
      </c>
      <c r="N47" s="3" t="str">
        <f t="shared" si="0"/>
        <v>20–40%</v>
      </c>
      <c r="O47" s="2">
        <v>19.522058000000001</v>
      </c>
      <c r="P47" s="2" t="str">
        <f t="shared" si="1"/>
        <v>15–20 km/h</v>
      </c>
      <c r="Q47" s="2">
        <v>140</v>
      </c>
      <c r="R47" s="2">
        <v>1675</v>
      </c>
      <c r="S47" s="2">
        <v>1815</v>
      </c>
    </row>
    <row r="48" spans="1:19" x14ac:dyDescent="0.3">
      <c r="A48" s="2">
        <v>47</v>
      </c>
      <c r="B48" s="1" t="s">
        <v>483</v>
      </c>
      <c r="C48" t="s">
        <v>907</v>
      </c>
      <c r="D48">
        <v>2018</v>
      </c>
      <c r="E48" t="s">
        <v>932</v>
      </c>
      <c r="F48" t="s">
        <v>908</v>
      </c>
      <c r="G48" t="s">
        <v>912</v>
      </c>
      <c r="H48" t="s">
        <v>909</v>
      </c>
      <c r="I48" t="s">
        <v>917</v>
      </c>
      <c r="J48" s="2">
        <v>13.048700999999999</v>
      </c>
      <c r="K48" s="2">
        <v>15.81</v>
      </c>
      <c r="L48" s="2" t="str">
        <f t="shared" si="2"/>
        <v>15–20°C</v>
      </c>
      <c r="M48" s="3">
        <v>42.347799999999999</v>
      </c>
      <c r="N48" s="3" t="str">
        <f t="shared" si="0"/>
        <v>40–60%</v>
      </c>
      <c r="O48" s="2">
        <v>16.869997000000001</v>
      </c>
      <c r="P48" s="2" t="str">
        <f t="shared" si="1"/>
        <v>15–20 km/h</v>
      </c>
      <c r="Q48" s="2">
        <v>218</v>
      </c>
      <c r="R48" s="2">
        <v>1897</v>
      </c>
      <c r="S48" s="2">
        <v>2115</v>
      </c>
    </row>
    <row r="49" spans="1:19" x14ac:dyDescent="0.3">
      <c r="A49" s="2">
        <v>48</v>
      </c>
      <c r="B49" s="1" t="s">
        <v>484</v>
      </c>
      <c r="C49" t="s">
        <v>907</v>
      </c>
      <c r="D49">
        <v>2018</v>
      </c>
      <c r="E49" t="s">
        <v>932</v>
      </c>
      <c r="F49" t="s">
        <v>908</v>
      </c>
      <c r="G49" t="s">
        <v>913</v>
      </c>
      <c r="H49" t="s">
        <v>909</v>
      </c>
      <c r="I49" t="s">
        <v>917</v>
      </c>
      <c r="J49" s="2">
        <v>17.869153000000001</v>
      </c>
      <c r="K49" s="2">
        <v>21.4329</v>
      </c>
      <c r="L49" s="2" t="str">
        <f t="shared" si="2"/>
        <v>20–25°C</v>
      </c>
      <c r="M49" s="3">
        <v>50.5</v>
      </c>
      <c r="N49" s="3" t="str">
        <f t="shared" si="0"/>
        <v>40–60%</v>
      </c>
      <c r="O49" s="2">
        <v>15.416968000000001</v>
      </c>
      <c r="P49" s="2" t="str">
        <f t="shared" si="1"/>
        <v>15–20 km/h</v>
      </c>
      <c r="Q49" s="2">
        <v>259</v>
      </c>
      <c r="R49" s="2">
        <v>2216</v>
      </c>
      <c r="S49" s="2">
        <v>2475</v>
      </c>
    </row>
    <row r="50" spans="1:19" x14ac:dyDescent="0.3">
      <c r="A50" s="2">
        <v>49</v>
      </c>
      <c r="B50" s="1" t="s">
        <v>485</v>
      </c>
      <c r="C50" t="s">
        <v>907</v>
      </c>
      <c r="D50">
        <v>2018</v>
      </c>
      <c r="E50" t="s">
        <v>932</v>
      </c>
      <c r="F50" t="s">
        <v>908</v>
      </c>
      <c r="G50" t="s">
        <v>914</v>
      </c>
      <c r="H50" t="s">
        <v>909</v>
      </c>
      <c r="I50" t="s">
        <v>917</v>
      </c>
      <c r="J50" s="2">
        <v>21.388347</v>
      </c>
      <c r="K50" s="2">
        <v>25.599150000000002</v>
      </c>
      <c r="L50" s="2" t="str">
        <f t="shared" si="2"/>
        <v>25–30°C</v>
      </c>
      <c r="M50" s="3">
        <v>51.666699999999999</v>
      </c>
      <c r="N50" s="3" t="str">
        <f t="shared" si="0"/>
        <v>40–60%</v>
      </c>
      <c r="O50" s="2">
        <v>17.749974999999999</v>
      </c>
      <c r="P50" s="2" t="str">
        <f t="shared" si="1"/>
        <v>15–20 km/h</v>
      </c>
      <c r="Q50" s="2">
        <v>579</v>
      </c>
      <c r="R50" s="2">
        <v>2348</v>
      </c>
      <c r="S50" s="2">
        <v>2927</v>
      </c>
    </row>
    <row r="51" spans="1:19" x14ac:dyDescent="0.3">
      <c r="A51" s="2">
        <v>50</v>
      </c>
      <c r="B51" s="1" t="s">
        <v>486</v>
      </c>
      <c r="C51" t="s">
        <v>907</v>
      </c>
      <c r="D51">
        <v>2018</v>
      </c>
      <c r="E51" t="s">
        <v>932</v>
      </c>
      <c r="F51" t="s">
        <v>908</v>
      </c>
      <c r="G51" t="s">
        <v>915</v>
      </c>
      <c r="H51" t="s">
        <v>908</v>
      </c>
      <c r="I51" t="s">
        <v>917</v>
      </c>
      <c r="J51" s="2">
        <v>16.365846999999999</v>
      </c>
      <c r="K51" s="2">
        <v>19.5702</v>
      </c>
      <c r="L51" s="2" t="str">
        <f t="shared" si="2"/>
        <v>15–20°C</v>
      </c>
      <c r="M51" s="3">
        <v>18.791699999999999</v>
      </c>
      <c r="N51" s="3" t="str">
        <f t="shared" si="0"/>
        <v>0–20%</v>
      </c>
      <c r="O51" s="2">
        <v>34.000020999999997</v>
      </c>
      <c r="P51" s="2" t="str">
        <f t="shared" si="1"/>
        <v>30–35 km/h</v>
      </c>
      <c r="Q51" s="2">
        <v>532</v>
      </c>
      <c r="R51" s="2">
        <v>1103</v>
      </c>
      <c r="S51" s="2">
        <v>1635</v>
      </c>
    </row>
    <row r="52" spans="1:19" x14ac:dyDescent="0.3">
      <c r="A52" s="2">
        <v>51</v>
      </c>
      <c r="B52" s="1" t="s">
        <v>487</v>
      </c>
      <c r="C52" t="s">
        <v>907</v>
      </c>
      <c r="D52">
        <v>2018</v>
      </c>
      <c r="E52" t="s">
        <v>932</v>
      </c>
      <c r="F52" t="s">
        <v>908</v>
      </c>
      <c r="G52" t="s">
        <v>916</v>
      </c>
      <c r="H52" t="s">
        <v>908</v>
      </c>
      <c r="I52" t="s">
        <v>917</v>
      </c>
      <c r="J52" s="2">
        <v>11.693897</v>
      </c>
      <c r="K52" s="2">
        <v>13.8665</v>
      </c>
      <c r="L52" s="2" t="str">
        <f t="shared" si="2"/>
        <v>10–15°C</v>
      </c>
      <c r="M52" s="3">
        <v>40.782600000000002</v>
      </c>
      <c r="N52" s="3" t="str">
        <f t="shared" si="0"/>
        <v>40–60%</v>
      </c>
      <c r="O52" s="2">
        <v>14.956745</v>
      </c>
      <c r="P52" s="2" t="str">
        <f t="shared" si="1"/>
        <v>10–15 km/h</v>
      </c>
      <c r="Q52" s="2">
        <v>639</v>
      </c>
      <c r="R52" s="2">
        <v>1173</v>
      </c>
      <c r="S52" s="2">
        <v>1812</v>
      </c>
    </row>
    <row r="53" spans="1:19" x14ac:dyDescent="0.3">
      <c r="A53" s="2">
        <v>52</v>
      </c>
      <c r="B53" s="1" t="s">
        <v>488</v>
      </c>
      <c r="C53" t="s">
        <v>907</v>
      </c>
      <c r="D53">
        <v>2018</v>
      </c>
      <c r="E53" t="s">
        <v>932</v>
      </c>
      <c r="F53" t="s">
        <v>909</v>
      </c>
      <c r="G53" t="s">
        <v>910</v>
      </c>
      <c r="H53" t="s">
        <v>908</v>
      </c>
      <c r="I53" t="s">
        <v>918</v>
      </c>
      <c r="J53" s="2">
        <v>12.436653</v>
      </c>
      <c r="K53" s="2">
        <v>14.203749999999999</v>
      </c>
      <c r="L53" s="2" t="str">
        <f t="shared" si="2"/>
        <v>10–15°C</v>
      </c>
      <c r="M53" s="3">
        <v>60.5</v>
      </c>
      <c r="N53" s="3" t="str">
        <f t="shared" si="0"/>
        <v>60–80%</v>
      </c>
      <c r="O53" s="2">
        <v>20.625682000000001</v>
      </c>
      <c r="P53" s="2" t="str">
        <f t="shared" si="1"/>
        <v>20–25 km/h</v>
      </c>
      <c r="Q53" s="2">
        <v>195</v>
      </c>
      <c r="R53" s="2">
        <v>912</v>
      </c>
      <c r="S53" s="2">
        <v>1107</v>
      </c>
    </row>
    <row r="54" spans="1:19" x14ac:dyDescent="0.3">
      <c r="A54" s="2">
        <v>53</v>
      </c>
      <c r="B54" s="1" t="s">
        <v>489</v>
      </c>
      <c r="C54" t="s">
        <v>907</v>
      </c>
      <c r="D54">
        <v>2018</v>
      </c>
      <c r="E54" t="s">
        <v>932</v>
      </c>
      <c r="F54" t="s">
        <v>908</v>
      </c>
      <c r="G54" t="s">
        <v>911</v>
      </c>
      <c r="H54" t="s">
        <v>909</v>
      </c>
      <c r="I54" t="s">
        <v>917</v>
      </c>
      <c r="J54" s="2">
        <v>7.4711020000000001</v>
      </c>
      <c r="K54" s="2">
        <v>9.3016500000000004</v>
      </c>
      <c r="L54" s="2" t="str">
        <f t="shared" si="2"/>
        <v>5–10°C</v>
      </c>
      <c r="M54" s="3">
        <v>57.777799999999999</v>
      </c>
      <c r="N54" s="3" t="str">
        <f t="shared" si="0"/>
        <v>40–60%</v>
      </c>
      <c r="O54" s="2">
        <v>13.110761</v>
      </c>
      <c r="P54" s="2" t="str">
        <f t="shared" si="1"/>
        <v>10–15 km/h</v>
      </c>
      <c r="Q54" s="2">
        <v>74</v>
      </c>
      <c r="R54" s="2">
        <v>1376</v>
      </c>
      <c r="S54" s="2">
        <v>1450</v>
      </c>
    </row>
    <row r="55" spans="1:19" x14ac:dyDescent="0.3">
      <c r="A55" s="2">
        <v>54</v>
      </c>
      <c r="B55" s="1" t="s">
        <v>490</v>
      </c>
      <c r="C55" t="s">
        <v>907</v>
      </c>
      <c r="D55">
        <v>2018</v>
      </c>
      <c r="E55" t="s">
        <v>932</v>
      </c>
      <c r="F55" t="s">
        <v>908</v>
      </c>
      <c r="G55" t="s">
        <v>912</v>
      </c>
      <c r="H55" t="s">
        <v>909</v>
      </c>
      <c r="I55" t="s">
        <v>917</v>
      </c>
      <c r="J55" s="2">
        <v>9.0912989999999994</v>
      </c>
      <c r="K55" s="2">
        <v>12.28585</v>
      </c>
      <c r="L55" s="2" t="str">
        <f t="shared" si="2"/>
        <v>10–15°C</v>
      </c>
      <c r="M55" s="3">
        <v>42.304299999999998</v>
      </c>
      <c r="N55" s="3" t="str">
        <f t="shared" si="0"/>
        <v>40–60%</v>
      </c>
      <c r="O55" s="2">
        <v>6.3055709999999996</v>
      </c>
      <c r="P55" s="2" t="str">
        <f t="shared" si="1"/>
        <v>5–10 km/h</v>
      </c>
      <c r="Q55" s="2">
        <v>139</v>
      </c>
      <c r="R55" s="2">
        <v>1778</v>
      </c>
      <c r="S55" s="2">
        <v>1917</v>
      </c>
    </row>
    <row r="56" spans="1:19" x14ac:dyDescent="0.3">
      <c r="A56" s="2">
        <v>55</v>
      </c>
      <c r="B56" s="1" t="s">
        <v>491</v>
      </c>
      <c r="C56" t="s">
        <v>907</v>
      </c>
      <c r="D56">
        <v>2018</v>
      </c>
      <c r="E56" t="s">
        <v>932</v>
      </c>
      <c r="F56" t="s">
        <v>908</v>
      </c>
      <c r="G56" t="s">
        <v>913</v>
      </c>
      <c r="H56" t="s">
        <v>909</v>
      </c>
      <c r="I56" t="s">
        <v>918</v>
      </c>
      <c r="J56" s="2">
        <v>12.121732</v>
      </c>
      <c r="K56" s="2">
        <v>14.45955</v>
      </c>
      <c r="L56" s="2" t="str">
        <f t="shared" si="2"/>
        <v>10–15°C</v>
      </c>
      <c r="M56" s="3">
        <v>69.739099999999993</v>
      </c>
      <c r="N56" s="3" t="str">
        <f t="shared" si="0"/>
        <v>60–80%</v>
      </c>
      <c r="O56" s="2">
        <v>16.783232000000002</v>
      </c>
      <c r="P56" s="2" t="str">
        <f t="shared" si="1"/>
        <v>15–20 km/h</v>
      </c>
      <c r="Q56" s="2">
        <v>100</v>
      </c>
      <c r="R56" s="2">
        <v>1707</v>
      </c>
      <c r="S56" s="2">
        <v>1807</v>
      </c>
    </row>
    <row r="57" spans="1:19" x14ac:dyDescent="0.3">
      <c r="A57" s="2">
        <v>56</v>
      </c>
      <c r="B57" s="1" t="s">
        <v>492</v>
      </c>
      <c r="C57" t="s">
        <v>907</v>
      </c>
      <c r="D57">
        <v>2018</v>
      </c>
      <c r="E57" t="s">
        <v>932</v>
      </c>
      <c r="F57" t="s">
        <v>908</v>
      </c>
      <c r="G57" t="s">
        <v>914</v>
      </c>
      <c r="H57" t="s">
        <v>909</v>
      </c>
      <c r="I57" t="s">
        <v>918</v>
      </c>
      <c r="J57" s="2">
        <v>14.938268000000001</v>
      </c>
      <c r="K57" s="2">
        <v>17.523050000000001</v>
      </c>
      <c r="L57" s="2" t="str">
        <f t="shared" si="2"/>
        <v>15–20°C</v>
      </c>
      <c r="M57" s="3">
        <v>71.217399999999998</v>
      </c>
      <c r="N57" s="3" t="str">
        <f t="shared" si="0"/>
        <v>60–80%</v>
      </c>
      <c r="O57" s="2">
        <v>23.218112999999999</v>
      </c>
      <c r="P57" s="2" t="str">
        <f t="shared" si="1"/>
        <v>20–25 km/h</v>
      </c>
      <c r="Q57" s="2">
        <v>120</v>
      </c>
      <c r="R57" s="2">
        <v>1341</v>
      </c>
      <c r="S57" s="2">
        <v>1461</v>
      </c>
    </row>
    <row r="58" spans="1:19" x14ac:dyDescent="0.3">
      <c r="A58" s="2">
        <v>57</v>
      </c>
      <c r="B58" s="1" t="s">
        <v>493</v>
      </c>
      <c r="C58" t="s">
        <v>907</v>
      </c>
      <c r="D58">
        <v>2018</v>
      </c>
      <c r="E58" t="s">
        <v>932</v>
      </c>
      <c r="F58" t="s">
        <v>908</v>
      </c>
      <c r="G58" t="s">
        <v>915</v>
      </c>
      <c r="H58" t="s">
        <v>908</v>
      </c>
      <c r="I58" t="s">
        <v>917</v>
      </c>
      <c r="J58" s="2">
        <v>11.5825</v>
      </c>
      <c r="K58" s="2">
        <v>14.1096</v>
      </c>
      <c r="L58" s="2" t="str">
        <f t="shared" si="2"/>
        <v>10–15°C</v>
      </c>
      <c r="M58" s="3">
        <v>53.791699999999999</v>
      </c>
      <c r="N58" s="3" t="str">
        <f t="shared" si="0"/>
        <v>40–60%</v>
      </c>
      <c r="O58" s="2">
        <v>12.500257</v>
      </c>
      <c r="P58" s="2" t="str">
        <f t="shared" si="1"/>
        <v>10–15 km/h</v>
      </c>
      <c r="Q58" s="2">
        <v>424</v>
      </c>
      <c r="R58" s="2">
        <v>1545</v>
      </c>
      <c r="S58" s="2">
        <v>1969</v>
      </c>
    </row>
    <row r="59" spans="1:19" x14ac:dyDescent="0.3">
      <c r="A59" s="2">
        <v>58</v>
      </c>
      <c r="B59" s="1" t="s">
        <v>494</v>
      </c>
      <c r="C59" t="s">
        <v>907</v>
      </c>
      <c r="D59">
        <v>2018</v>
      </c>
      <c r="E59" t="s">
        <v>932</v>
      </c>
      <c r="F59" t="s">
        <v>908</v>
      </c>
      <c r="G59" t="s">
        <v>916</v>
      </c>
      <c r="H59" t="s">
        <v>908</v>
      </c>
      <c r="I59" t="s">
        <v>917</v>
      </c>
      <c r="J59" s="2">
        <v>14.082598000000001</v>
      </c>
      <c r="K59" s="2">
        <v>17.55545</v>
      </c>
      <c r="L59" s="2" t="str">
        <f t="shared" si="2"/>
        <v>15–20°C</v>
      </c>
      <c r="M59" s="3">
        <v>68</v>
      </c>
      <c r="N59" s="3" t="str">
        <f t="shared" si="0"/>
        <v>60–80%</v>
      </c>
      <c r="O59" s="2">
        <v>8.3916160000000009</v>
      </c>
      <c r="P59" s="2" t="str">
        <f t="shared" si="1"/>
        <v>5–10 km/h</v>
      </c>
      <c r="Q59" s="2">
        <v>694</v>
      </c>
      <c r="R59" s="2">
        <v>1708</v>
      </c>
      <c r="S59" s="2">
        <v>2402</v>
      </c>
    </row>
    <row r="60" spans="1:19" x14ac:dyDescent="0.3">
      <c r="A60" s="2">
        <v>59</v>
      </c>
      <c r="B60" s="1" t="s">
        <v>495</v>
      </c>
      <c r="C60" t="s">
        <v>907</v>
      </c>
      <c r="D60">
        <v>2018</v>
      </c>
      <c r="E60" t="s">
        <v>932</v>
      </c>
      <c r="F60" t="s">
        <v>908</v>
      </c>
      <c r="G60" t="s">
        <v>910</v>
      </c>
      <c r="H60" t="s">
        <v>909</v>
      </c>
      <c r="I60" t="s">
        <v>918</v>
      </c>
      <c r="J60" s="2">
        <v>16.698193</v>
      </c>
      <c r="K60" s="2">
        <v>20.0059</v>
      </c>
      <c r="L60" s="2" t="str">
        <f t="shared" si="2"/>
        <v>20–25°C</v>
      </c>
      <c r="M60" s="3">
        <v>87.636399999999995</v>
      </c>
      <c r="N60" s="3" t="str">
        <f t="shared" si="0"/>
        <v>80–100%</v>
      </c>
      <c r="O60" s="2">
        <v>19.408961999999999</v>
      </c>
      <c r="P60" s="2" t="str">
        <f t="shared" si="1"/>
        <v>15–20 km/h</v>
      </c>
      <c r="Q60" s="2">
        <v>81</v>
      </c>
      <c r="R60" s="2">
        <v>1365</v>
      </c>
      <c r="S60" s="2">
        <v>1446</v>
      </c>
    </row>
    <row r="61" spans="1:19" x14ac:dyDescent="0.3">
      <c r="A61" s="2">
        <v>60</v>
      </c>
      <c r="B61" s="1">
        <v>43103</v>
      </c>
      <c r="C61" t="s">
        <v>907</v>
      </c>
      <c r="D61">
        <v>2018</v>
      </c>
      <c r="E61" t="s">
        <v>922</v>
      </c>
      <c r="F61" t="s">
        <v>908</v>
      </c>
      <c r="G61" t="s">
        <v>911</v>
      </c>
      <c r="H61" t="s">
        <v>909</v>
      </c>
      <c r="I61" t="s">
        <v>917</v>
      </c>
      <c r="J61" s="2">
        <v>10.933346999999999</v>
      </c>
      <c r="K61" s="2">
        <v>13.193949999999999</v>
      </c>
      <c r="L61" s="2" t="str">
        <f t="shared" si="2"/>
        <v>10–15°C</v>
      </c>
      <c r="M61" s="3">
        <v>53.5</v>
      </c>
      <c r="N61" s="3" t="str">
        <f t="shared" si="0"/>
        <v>40–60%</v>
      </c>
      <c r="O61" s="2">
        <v>14.500475</v>
      </c>
      <c r="P61" s="2" t="str">
        <f t="shared" si="1"/>
        <v>10–15 km/h</v>
      </c>
      <c r="Q61" s="2">
        <v>137</v>
      </c>
      <c r="R61" s="2">
        <v>1714</v>
      </c>
      <c r="S61" s="2">
        <v>1851</v>
      </c>
    </row>
    <row r="62" spans="1:19" x14ac:dyDescent="0.3">
      <c r="A62" s="2">
        <v>61</v>
      </c>
      <c r="B62" s="1">
        <v>43134</v>
      </c>
      <c r="C62" t="s">
        <v>907</v>
      </c>
      <c r="D62">
        <v>2018</v>
      </c>
      <c r="E62" t="s">
        <v>922</v>
      </c>
      <c r="F62" t="s">
        <v>908</v>
      </c>
      <c r="G62" t="s">
        <v>912</v>
      </c>
      <c r="H62" t="s">
        <v>909</v>
      </c>
      <c r="I62" t="s">
        <v>917</v>
      </c>
      <c r="J62" s="2">
        <v>13.734999999999999</v>
      </c>
      <c r="K62" s="2">
        <v>16.003550000000001</v>
      </c>
      <c r="L62" s="2" t="str">
        <f t="shared" si="2"/>
        <v>15–20°C</v>
      </c>
      <c r="M62" s="3">
        <v>44.958300000000001</v>
      </c>
      <c r="N62" s="3" t="str">
        <f t="shared" si="0"/>
        <v>40–60%</v>
      </c>
      <c r="O62" s="2">
        <v>20.624811000000001</v>
      </c>
      <c r="P62" s="2" t="str">
        <f t="shared" si="1"/>
        <v>20–25 km/h</v>
      </c>
      <c r="Q62" s="2">
        <v>231</v>
      </c>
      <c r="R62" s="2">
        <v>1903</v>
      </c>
      <c r="S62" s="2">
        <v>2134</v>
      </c>
    </row>
    <row r="63" spans="1:19" x14ac:dyDescent="0.3">
      <c r="A63" s="2">
        <v>62</v>
      </c>
      <c r="B63" s="1">
        <v>43162</v>
      </c>
      <c r="C63" t="s">
        <v>907</v>
      </c>
      <c r="D63">
        <v>2018</v>
      </c>
      <c r="E63" t="s">
        <v>922</v>
      </c>
      <c r="F63" t="s">
        <v>908</v>
      </c>
      <c r="G63" t="s">
        <v>913</v>
      </c>
      <c r="H63" t="s">
        <v>909</v>
      </c>
      <c r="I63" t="s">
        <v>917</v>
      </c>
      <c r="J63" s="2">
        <v>8.131653</v>
      </c>
      <c r="K63" s="2">
        <v>10.00665</v>
      </c>
      <c r="L63" s="2" t="str">
        <f t="shared" si="2"/>
        <v>10–15°C</v>
      </c>
      <c r="M63" s="3">
        <v>31.833300000000001</v>
      </c>
      <c r="N63" s="3" t="str">
        <f t="shared" si="0"/>
        <v>20–40%</v>
      </c>
      <c r="O63" s="2">
        <v>15.125518</v>
      </c>
      <c r="P63" s="2" t="str">
        <f t="shared" si="1"/>
        <v>15–20 km/h</v>
      </c>
      <c r="Q63" s="2">
        <v>123</v>
      </c>
      <c r="R63" s="2">
        <v>1562</v>
      </c>
      <c r="S63" s="2">
        <v>1685</v>
      </c>
    </row>
    <row r="64" spans="1:19" x14ac:dyDescent="0.3">
      <c r="A64" s="2">
        <v>63</v>
      </c>
      <c r="B64" s="1">
        <v>43193</v>
      </c>
      <c r="C64" t="s">
        <v>907</v>
      </c>
      <c r="D64">
        <v>2018</v>
      </c>
      <c r="E64" t="s">
        <v>922</v>
      </c>
      <c r="F64" t="s">
        <v>908</v>
      </c>
      <c r="G64" t="s">
        <v>914</v>
      </c>
      <c r="H64" t="s">
        <v>909</v>
      </c>
      <c r="I64" t="s">
        <v>918</v>
      </c>
      <c r="J64" s="2">
        <v>10.728346999999999</v>
      </c>
      <c r="K64" s="2">
        <v>12.783950000000001</v>
      </c>
      <c r="L64" s="2" t="str">
        <f t="shared" si="2"/>
        <v>10–15°C</v>
      </c>
      <c r="M64" s="3">
        <v>61.041699999999999</v>
      </c>
      <c r="N64" s="3" t="str">
        <f t="shared" si="0"/>
        <v>60–80%</v>
      </c>
      <c r="O64" s="2">
        <v>13.624181999999999</v>
      </c>
      <c r="P64" s="2" t="str">
        <f t="shared" si="1"/>
        <v>10–15 km/h</v>
      </c>
      <c r="Q64" s="2">
        <v>214</v>
      </c>
      <c r="R64" s="2">
        <v>1730</v>
      </c>
      <c r="S64" s="2">
        <v>1944</v>
      </c>
    </row>
    <row r="65" spans="1:19" x14ac:dyDescent="0.3">
      <c r="A65" s="2">
        <v>64</v>
      </c>
      <c r="B65" s="1">
        <v>43223</v>
      </c>
      <c r="C65" t="s">
        <v>907</v>
      </c>
      <c r="D65">
        <v>2018</v>
      </c>
      <c r="E65" t="s">
        <v>922</v>
      </c>
      <c r="F65" t="s">
        <v>908</v>
      </c>
      <c r="G65" t="s">
        <v>915</v>
      </c>
      <c r="H65" t="s">
        <v>908</v>
      </c>
      <c r="I65" t="s">
        <v>918</v>
      </c>
      <c r="J65" s="2">
        <v>15.750847</v>
      </c>
      <c r="K65" s="2">
        <v>18.938949999999998</v>
      </c>
      <c r="L65" s="2" t="str">
        <f t="shared" si="2"/>
        <v>15–20°C</v>
      </c>
      <c r="M65" s="3">
        <v>78.916700000000006</v>
      </c>
      <c r="N65" s="3" t="str">
        <f t="shared" si="0"/>
        <v>60–80%</v>
      </c>
      <c r="O65" s="2">
        <v>16.875357000000001</v>
      </c>
      <c r="P65" s="2" t="str">
        <f t="shared" si="1"/>
        <v>15–20 km/h</v>
      </c>
      <c r="Q65" s="2">
        <v>640</v>
      </c>
      <c r="R65" s="2">
        <v>1437</v>
      </c>
      <c r="S65" s="2">
        <v>2077</v>
      </c>
    </row>
    <row r="66" spans="1:19" x14ac:dyDescent="0.3">
      <c r="A66" s="2">
        <v>65</v>
      </c>
      <c r="B66" s="1">
        <v>43254</v>
      </c>
      <c r="C66" t="s">
        <v>907</v>
      </c>
      <c r="D66">
        <v>2018</v>
      </c>
      <c r="E66" t="s">
        <v>922</v>
      </c>
      <c r="F66" t="s">
        <v>908</v>
      </c>
      <c r="G66" t="s">
        <v>916</v>
      </c>
      <c r="H66" t="s">
        <v>908</v>
      </c>
      <c r="I66" t="s">
        <v>918</v>
      </c>
      <c r="J66" s="2">
        <v>15.437402000000001</v>
      </c>
      <c r="K66" s="2">
        <v>18.3126</v>
      </c>
      <c r="L66" s="2" t="str">
        <f t="shared" ref="L66:L129" si="3">FLOOR(K66,5)&amp;"–"&amp;FLOOR(K66,5)+5&amp;"°C"</f>
        <v>15–20°C</v>
      </c>
      <c r="M66" s="3">
        <v>94.826099999999997</v>
      </c>
      <c r="N66" s="3" t="str">
        <f t="shared" ref="N66:N129" si="4">FLOOR(M66,20)&amp;"–"&amp;FLOOR(M66,20)+20&amp;"%"</f>
        <v>80–100%</v>
      </c>
      <c r="O66" s="2">
        <v>23.000229000000001</v>
      </c>
      <c r="P66" s="2" t="str">
        <f t="shared" ref="P66:P129" si="5">FLOOR(O66,5)&amp;"–"&amp;FLOOR(O66,5)+5&amp;" km/h"</f>
        <v>20–25 km/h</v>
      </c>
      <c r="Q66" s="2">
        <v>114</v>
      </c>
      <c r="R66" s="2">
        <v>491</v>
      </c>
      <c r="S66" s="2">
        <v>605</v>
      </c>
    </row>
    <row r="67" spans="1:19" x14ac:dyDescent="0.3">
      <c r="A67" s="2">
        <v>66</v>
      </c>
      <c r="B67" s="1">
        <v>43284</v>
      </c>
      <c r="C67" t="s">
        <v>907</v>
      </c>
      <c r="D67">
        <v>2018</v>
      </c>
      <c r="E67" t="s">
        <v>922</v>
      </c>
      <c r="F67" t="s">
        <v>908</v>
      </c>
      <c r="G67" t="s">
        <v>910</v>
      </c>
      <c r="H67" t="s">
        <v>909</v>
      </c>
      <c r="I67" t="s">
        <v>917</v>
      </c>
      <c r="J67" s="2">
        <v>10.731299</v>
      </c>
      <c r="K67" s="2">
        <v>11.92305</v>
      </c>
      <c r="L67" s="2" t="str">
        <f t="shared" si="3"/>
        <v>10–15°C</v>
      </c>
      <c r="M67" s="3">
        <v>55.130400000000002</v>
      </c>
      <c r="N67" s="3" t="str">
        <f t="shared" si="4"/>
        <v>40–60%</v>
      </c>
      <c r="O67" s="2">
        <v>22.870584000000001</v>
      </c>
      <c r="P67" s="2" t="str">
        <f t="shared" si="5"/>
        <v>20–25 km/h</v>
      </c>
      <c r="Q67" s="2">
        <v>244</v>
      </c>
      <c r="R67" s="2">
        <v>1628</v>
      </c>
      <c r="S67" s="2">
        <v>1872</v>
      </c>
    </row>
    <row r="68" spans="1:19" x14ac:dyDescent="0.3">
      <c r="A68" s="2">
        <v>67</v>
      </c>
      <c r="B68" s="1">
        <v>43315</v>
      </c>
      <c r="C68" t="s">
        <v>907</v>
      </c>
      <c r="D68">
        <v>2018</v>
      </c>
      <c r="E68" t="s">
        <v>922</v>
      </c>
      <c r="F68" t="s">
        <v>908</v>
      </c>
      <c r="G68" t="s">
        <v>911</v>
      </c>
      <c r="H68" t="s">
        <v>909</v>
      </c>
      <c r="I68" t="s">
        <v>917</v>
      </c>
      <c r="J68" s="2">
        <v>11.9925</v>
      </c>
      <c r="K68" s="2">
        <v>15.12</v>
      </c>
      <c r="L68" s="2" t="str">
        <f t="shared" si="3"/>
        <v>15–20°C</v>
      </c>
      <c r="M68" s="3">
        <v>42.083300000000001</v>
      </c>
      <c r="N68" s="3" t="str">
        <f t="shared" si="4"/>
        <v>40–60%</v>
      </c>
      <c r="O68" s="2">
        <v>8.0835500000000007</v>
      </c>
      <c r="P68" s="2" t="str">
        <f t="shared" si="5"/>
        <v>5–10 km/h</v>
      </c>
      <c r="Q68" s="2">
        <v>316</v>
      </c>
      <c r="R68" s="2">
        <v>1817</v>
      </c>
      <c r="S68" s="2">
        <v>2133</v>
      </c>
    </row>
    <row r="69" spans="1:19" x14ac:dyDescent="0.3">
      <c r="A69" s="2">
        <v>68</v>
      </c>
      <c r="B69" s="1">
        <v>43346</v>
      </c>
      <c r="C69" t="s">
        <v>907</v>
      </c>
      <c r="D69">
        <v>2018</v>
      </c>
      <c r="E69" t="s">
        <v>922</v>
      </c>
      <c r="F69" t="s">
        <v>908</v>
      </c>
      <c r="G69" t="s">
        <v>912</v>
      </c>
      <c r="H69" t="s">
        <v>909</v>
      </c>
      <c r="I69" t="s">
        <v>918</v>
      </c>
      <c r="J69" s="2">
        <v>12.129153000000001</v>
      </c>
      <c r="K69" s="2">
        <v>14.330399999999999</v>
      </c>
      <c r="L69" s="2" t="str">
        <f t="shared" si="3"/>
        <v>10–15°C</v>
      </c>
      <c r="M69" s="3">
        <v>77.541700000000006</v>
      </c>
      <c r="N69" s="3" t="str">
        <f t="shared" si="4"/>
        <v>60–80%</v>
      </c>
      <c r="O69" s="2">
        <v>14.75005</v>
      </c>
      <c r="P69" s="2" t="str">
        <f t="shared" si="5"/>
        <v>10–15 km/h</v>
      </c>
      <c r="Q69" s="2">
        <v>191</v>
      </c>
      <c r="R69" s="2">
        <v>1700</v>
      </c>
      <c r="S69" s="2">
        <v>1891</v>
      </c>
    </row>
    <row r="70" spans="1:19" x14ac:dyDescent="0.3">
      <c r="A70" s="2">
        <v>69</v>
      </c>
      <c r="B70" s="1">
        <v>43376</v>
      </c>
      <c r="C70" t="s">
        <v>907</v>
      </c>
      <c r="D70">
        <v>2018</v>
      </c>
      <c r="E70" t="s">
        <v>922</v>
      </c>
      <c r="F70" t="s">
        <v>908</v>
      </c>
      <c r="G70" t="s">
        <v>913</v>
      </c>
      <c r="H70" t="s">
        <v>909</v>
      </c>
      <c r="I70" t="s">
        <v>919</v>
      </c>
      <c r="J70" s="2">
        <v>15.952731</v>
      </c>
      <c r="K70" s="2">
        <v>19.2834</v>
      </c>
      <c r="L70" s="2" t="str">
        <f t="shared" si="3"/>
        <v>15–20°C</v>
      </c>
      <c r="M70" s="3">
        <v>0</v>
      </c>
      <c r="N70" s="3" t="str">
        <f t="shared" si="4"/>
        <v>0–20%</v>
      </c>
      <c r="O70" s="2">
        <v>17.545759</v>
      </c>
      <c r="P70" s="2" t="str">
        <f t="shared" si="5"/>
        <v>15–20 km/h</v>
      </c>
      <c r="Q70" s="2">
        <v>46</v>
      </c>
      <c r="R70" s="2">
        <v>577</v>
      </c>
      <c r="S70" s="2">
        <v>623</v>
      </c>
    </row>
    <row r="71" spans="1:19" x14ac:dyDescent="0.3">
      <c r="A71" s="2">
        <v>70</v>
      </c>
      <c r="B71" s="1">
        <v>43407</v>
      </c>
      <c r="C71" t="s">
        <v>907</v>
      </c>
      <c r="D71">
        <v>2018</v>
      </c>
      <c r="E71" t="s">
        <v>922</v>
      </c>
      <c r="F71" t="s">
        <v>908</v>
      </c>
      <c r="G71" t="s">
        <v>914</v>
      </c>
      <c r="H71" t="s">
        <v>909</v>
      </c>
      <c r="I71" t="s">
        <v>918</v>
      </c>
      <c r="J71" s="2">
        <v>12.977402</v>
      </c>
      <c r="K71" s="2">
        <v>15.25</v>
      </c>
      <c r="L71" s="2" t="str">
        <f t="shared" si="3"/>
        <v>15–20°C</v>
      </c>
      <c r="M71" s="3">
        <v>64.956500000000005</v>
      </c>
      <c r="N71" s="3" t="str">
        <f t="shared" si="4"/>
        <v>60–80%</v>
      </c>
      <c r="O71" s="2">
        <v>15.60899</v>
      </c>
      <c r="P71" s="2" t="str">
        <f t="shared" si="5"/>
        <v>15–20 km/h</v>
      </c>
      <c r="Q71" s="2">
        <v>247</v>
      </c>
      <c r="R71" s="2">
        <v>1730</v>
      </c>
      <c r="S71" s="2">
        <v>1977</v>
      </c>
    </row>
    <row r="72" spans="1:19" x14ac:dyDescent="0.3">
      <c r="A72" s="2">
        <v>71</v>
      </c>
      <c r="B72" s="1">
        <v>43437</v>
      </c>
      <c r="C72" t="s">
        <v>907</v>
      </c>
      <c r="D72">
        <v>2018</v>
      </c>
      <c r="E72" t="s">
        <v>922</v>
      </c>
      <c r="F72" t="s">
        <v>908</v>
      </c>
      <c r="G72" t="s">
        <v>915</v>
      </c>
      <c r="H72" t="s">
        <v>908</v>
      </c>
      <c r="I72" t="s">
        <v>917</v>
      </c>
      <c r="J72" s="2">
        <v>13.495846999999999</v>
      </c>
      <c r="K72" s="2">
        <v>16.287500000000001</v>
      </c>
      <c r="L72" s="2" t="str">
        <f t="shared" si="3"/>
        <v>15–20°C</v>
      </c>
      <c r="M72" s="3">
        <v>59.458300000000001</v>
      </c>
      <c r="N72" s="3" t="str">
        <f t="shared" si="4"/>
        <v>40–60%</v>
      </c>
      <c r="O72" s="2">
        <v>14.791925000000001</v>
      </c>
      <c r="P72" s="2" t="str">
        <f t="shared" si="5"/>
        <v>10–15 km/h</v>
      </c>
      <c r="Q72" s="2">
        <v>724</v>
      </c>
      <c r="R72" s="2">
        <v>1408</v>
      </c>
      <c r="S72" s="2">
        <v>2132</v>
      </c>
    </row>
    <row r="73" spans="1:19" x14ac:dyDescent="0.3">
      <c r="A73" s="2">
        <v>72</v>
      </c>
      <c r="B73" s="1" t="s">
        <v>496</v>
      </c>
      <c r="C73" t="s">
        <v>907</v>
      </c>
      <c r="D73">
        <v>2018</v>
      </c>
      <c r="E73" t="s">
        <v>922</v>
      </c>
      <c r="F73" t="s">
        <v>908</v>
      </c>
      <c r="G73" t="s">
        <v>916</v>
      </c>
      <c r="H73" t="s">
        <v>908</v>
      </c>
      <c r="I73" t="s">
        <v>917</v>
      </c>
      <c r="J73" s="2">
        <v>15.758267999999999</v>
      </c>
      <c r="K73" s="2">
        <v>19.004549999999998</v>
      </c>
      <c r="L73" s="2" t="str">
        <f t="shared" si="3"/>
        <v>15–20°C</v>
      </c>
      <c r="M73" s="3">
        <v>52.739100000000001</v>
      </c>
      <c r="N73" s="3" t="str">
        <f t="shared" si="4"/>
        <v>40–60%</v>
      </c>
      <c r="O73" s="2">
        <v>18.130468</v>
      </c>
      <c r="P73" s="2" t="str">
        <f t="shared" si="5"/>
        <v>15–20 km/h</v>
      </c>
      <c r="Q73" s="2">
        <v>982</v>
      </c>
      <c r="R73" s="2">
        <v>1435</v>
      </c>
      <c r="S73" s="2">
        <v>2417</v>
      </c>
    </row>
    <row r="74" spans="1:19" x14ac:dyDescent="0.3">
      <c r="A74" s="2">
        <v>73</v>
      </c>
      <c r="B74" s="1" t="s">
        <v>497</v>
      </c>
      <c r="C74" t="s">
        <v>907</v>
      </c>
      <c r="D74">
        <v>2018</v>
      </c>
      <c r="E74" t="s">
        <v>922</v>
      </c>
      <c r="F74" t="s">
        <v>908</v>
      </c>
      <c r="G74" t="s">
        <v>910</v>
      </c>
      <c r="H74" t="s">
        <v>909</v>
      </c>
      <c r="I74" t="s">
        <v>917</v>
      </c>
      <c r="J74" s="2">
        <v>13.333897</v>
      </c>
      <c r="K74" s="2">
        <v>16.600000000000001</v>
      </c>
      <c r="L74" s="2" t="str">
        <f t="shared" si="3"/>
        <v>15–20°C</v>
      </c>
      <c r="M74" s="3">
        <v>49.695700000000002</v>
      </c>
      <c r="N74" s="3" t="str">
        <f t="shared" si="4"/>
        <v>40–60%</v>
      </c>
      <c r="O74" s="2">
        <v>9.174042</v>
      </c>
      <c r="P74" s="2" t="str">
        <f t="shared" si="5"/>
        <v>5–10 km/h</v>
      </c>
      <c r="Q74" s="2">
        <v>359</v>
      </c>
      <c r="R74" s="2">
        <v>1687</v>
      </c>
      <c r="S74" s="2">
        <v>2046</v>
      </c>
    </row>
    <row r="75" spans="1:19" x14ac:dyDescent="0.3">
      <c r="A75" s="2">
        <v>74</v>
      </c>
      <c r="B75" s="1" t="s">
        <v>498</v>
      </c>
      <c r="C75" t="s">
        <v>907</v>
      </c>
      <c r="D75">
        <v>2018</v>
      </c>
      <c r="E75" t="s">
        <v>922</v>
      </c>
      <c r="F75" t="s">
        <v>908</v>
      </c>
      <c r="G75" t="s">
        <v>911</v>
      </c>
      <c r="H75" t="s">
        <v>909</v>
      </c>
      <c r="I75" t="s">
        <v>918</v>
      </c>
      <c r="J75" s="2">
        <v>13.013031</v>
      </c>
      <c r="K75" s="2">
        <v>15.908899999999999</v>
      </c>
      <c r="L75" s="2" t="str">
        <f t="shared" si="3"/>
        <v>15–20°C</v>
      </c>
      <c r="M75" s="3">
        <v>65.565200000000004</v>
      </c>
      <c r="N75" s="3" t="str">
        <f t="shared" si="4"/>
        <v>60–80%</v>
      </c>
      <c r="O75" s="2">
        <v>12.348703</v>
      </c>
      <c r="P75" s="2" t="str">
        <f t="shared" si="5"/>
        <v>10–15 km/h</v>
      </c>
      <c r="Q75" s="2">
        <v>289</v>
      </c>
      <c r="R75" s="2">
        <v>1767</v>
      </c>
      <c r="S75" s="2">
        <v>2056</v>
      </c>
    </row>
    <row r="76" spans="1:19" x14ac:dyDescent="0.3">
      <c r="A76" s="2">
        <v>75</v>
      </c>
      <c r="B76" s="1" t="s">
        <v>499</v>
      </c>
      <c r="C76" t="s">
        <v>907</v>
      </c>
      <c r="D76">
        <v>2018</v>
      </c>
      <c r="E76" t="s">
        <v>922</v>
      </c>
      <c r="F76" t="s">
        <v>908</v>
      </c>
      <c r="G76" t="s">
        <v>912</v>
      </c>
      <c r="H76" t="s">
        <v>909</v>
      </c>
      <c r="I76" t="s">
        <v>918</v>
      </c>
      <c r="J76" s="2">
        <v>14.973896999999999</v>
      </c>
      <c r="K76" s="2">
        <v>18.346499999999999</v>
      </c>
      <c r="L76" s="2" t="str">
        <f t="shared" si="3"/>
        <v>15–20°C</v>
      </c>
      <c r="M76" s="3">
        <v>77.652199999999993</v>
      </c>
      <c r="N76" s="3" t="str">
        <f t="shared" si="4"/>
        <v>60–80%</v>
      </c>
      <c r="O76" s="2">
        <v>13.608839</v>
      </c>
      <c r="P76" s="2" t="str">
        <f t="shared" si="5"/>
        <v>10–15 km/h</v>
      </c>
      <c r="Q76" s="2">
        <v>321</v>
      </c>
      <c r="R76" s="2">
        <v>1871</v>
      </c>
      <c r="S76" s="2">
        <v>2192</v>
      </c>
    </row>
    <row r="77" spans="1:19" x14ac:dyDescent="0.3">
      <c r="A77" s="2">
        <v>76</v>
      </c>
      <c r="B77" s="1" t="s">
        <v>500</v>
      </c>
      <c r="C77" t="s">
        <v>907</v>
      </c>
      <c r="D77">
        <v>2018</v>
      </c>
      <c r="E77" t="s">
        <v>922</v>
      </c>
      <c r="F77" t="s">
        <v>908</v>
      </c>
      <c r="G77" t="s">
        <v>913</v>
      </c>
      <c r="H77" t="s">
        <v>909</v>
      </c>
      <c r="I77" t="s">
        <v>917</v>
      </c>
      <c r="J77" s="2">
        <v>17.015000000000001</v>
      </c>
      <c r="K77" s="2">
        <v>20.516649999999998</v>
      </c>
      <c r="L77" s="2" t="str">
        <f t="shared" si="3"/>
        <v>20–25°C</v>
      </c>
      <c r="M77" s="3">
        <v>60.291699999999999</v>
      </c>
      <c r="N77" s="3" t="str">
        <f t="shared" si="4"/>
        <v>60–80%</v>
      </c>
      <c r="O77" s="2">
        <v>14.041793</v>
      </c>
      <c r="P77" s="2" t="str">
        <f t="shared" si="5"/>
        <v>10–15 km/h</v>
      </c>
      <c r="Q77" s="2">
        <v>424</v>
      </c>
      <c r="R77" s="2">
        <v>2320</v>
      </c>
      <c r="S77" s="2">
        <v>2744</v>
      </c>
    </row>
    <row r="78" spans="1:19" x14ac:dyDescent="0.3">
      <c r="A78" s="2">
        <v>77</v>
      </c>
      <c r="B78" s="1" t="s">
        <v>501</v>
      </c>
      <c r="C78" t="s">
        <v>907</v>
      </c>
      <c r="D78">
        <v>2018</v>
      </c>
      <c r="E78" t="s">
        <v>922</v>
      </c>
      <c r="F78" t="s">
        <v>908</v>
      </c>
      <c r="G78" t="s">
        <v>914</v>
      </c>
      <c r="H78" t="s">
        <v>909</v>
      </c>
      <c r="I78" t="s">
        <v>917</v>
      </c>
      <c r="J78" s="2">
        <v>22.14</v>
      </c>
      <c r="K78" s="2">
        <v>26.350449999999999</v>
      </c>
      <c r="L78" s="2" t="str">
        <f t="shared" si="3"/>
        <v>25–30°C</v>
      </c>
      <c r="M78" s="3">
        <v>52.521700000000003</v>
      </c>
      <c r="N78" s="3" t="str">
        <f t="shared" si="4"/>
        <v>40–60%</v>
      </c>
      <c r="O78" s="2">
        <v>15.478139000000001</v>
      </c>
      <c r="P78" s="2" t="str">
        <f t="shared" si="5"/>
        <v>15–20 km/h</v>
      </c>
      <c r="Q78" s="2">
        <v>884</v>
      </c>
      <c r="R78" s="2">
        <v>2355</v>
      </c>
      <c r="S78" s="2">
        <v>3239</v>
      </c>
    </row>
    <row r="79" spans="1:19" x14ac:dyDescent="0.3">
      <c r="A79" s="2">
        <v>78</v>
      </c>
      <c r="B79" s="1" t="s">
        <v>502</v>
      </c>
      <c r="C79" t="s">
        <v>907</v>
      </c>
      <c r="D79">
        <v>2018</v>
      </c>
      <c r="E79" t="s">
        <v>922</v>
      </c>
      <c r="F79" t="s">
        <v>908</v>
      </c>
      <c r="G79" t="s">
        <v>915</v>
      </c>
      <c r="H79" t="s">
        <v>908</v>
      </c>
      <c r="I79" t="s">
        <v>917</v>
      </c>
      <c r="J79" s="2">
        <v>19.372499999999999</v>
      </c>
      <c r="K79" s="2">
        <v>23.326250000000002</v>
      </c>
      <c r="L79" s="2" t="str">
        <f t="shared" si="3"/>
        <v>20–25°C</v>
      </c>
      <c r="M79" s="3">
        <v>37.916699999999999</v>
      </c>
      <c r="N79" s="3" t="str">
        <f t="shared" si="4"/>
        <v>20–40%</v>
      </c>
      <c r="O79" s="2">
        <v>24.667189</v>
      </c>
      <c r="P79" s="2" t="str">
        <f t="shared" si="5"/>
        <v>20–25 km/h</v>
      </c>
      <c r="Q79" s="2">
        <v>1424</v>
      </c>
      <c r="R79" s="2">
        <v>1693</v>
      </c>
      <c r="S79" s="2">
        <v>3117</v>
      </c>
    </row>
    <row r="80" spans="1:19" x14ac:dyDescent="0.3">
      <c r="A80" s="2">
        <v>79</v>
      </c>
      <c r="B80" s="1" t="s">
        <v>503</v>
      </c>
      <c r="C80" t="s">
        <v>907</v>
      </c>
      <c r="D80">
        <v>2018</v>
      </c>
      <c r="E80" t="s">
        <v>922</v>
      </c>
      <c r="F80" t="s">
        <v>908</v>
      </c>
      <c r="G80" t="s">
        <v>916</v>
      </c>
      <c r="H80" t="s">
        <v>908</v>
      </c>
      <c r="I80" t="s">
        <v>917</v>
      </c>
      <c r="J80" s="2">
        <v>13.6325</v>
      </c>
      <c r="K80" s="2">
        <v>16.287500000000001</v>
      </c>
      <c r="L80" s="2" t="str">
        <f t="shared" si="3"/>
        <v>15–20°C</v>
      </c>
      <c r="M80" s="3">
        <v>47.375</v>
      </c>
      <c r="N80" s="3" t="str">
        <f t="shared" si="4"/>
        <v>40–60%</v>
      </c>
      <c r="O80" s="2">
        <v>13.917306999999999</v>
      </c>
      <c r="P80" s="2" t="str">
        <f t="shared" si="5"/>
        <v>10–15 km/h</v>
      </c>
      <c r="Q80" s="2">
        <v>1047</v>
      </c>
      <c r="R80" s="2">
        <v>1424</v>
      </c>
      <c r="S80" s="2">
        <v>2471</v>
      </c>
    </row>
    <row r="81" spans="1:19" x14ac:dyDescent="0.3">
      <c r="A81" s="2">
        <v>80</v>
      </c>
      <c r="B81" s="1" t="s">
        <v>504</v>
      </c>
      <c r="C81" t="s">
        <v>904</v>
      </c>
      <c r="D81">
        <v>2018</v>
      </c>
      <c r="E81" t="s">
        <v>922</v>
      </c>
      <c r="F81" t="s">
        <v>908</v>
      </c>
      <c r="G81" t="s">
        <v>910</v>
      </c>
      <c r="H81" t="s">
        <v>909</v>
      </c>
      <c r="I81" t="s">
        <v>918</v>
      </c>
      <c r="J81" s="2">
        <v>17.647835000000001</v>
      </c>
      <c r="K81" s="2">
        <v>20.486750000000001</v>
      </c>
      <c r="L81" s="2" t="str">
        <f t="shared" si="3"/>
        <v>20–25°C</v>
      </c>
      <c r="M81" s="3">
        <v>73.739099999999993</v>
      </c>
      <c r="N81" s="3" t="str">
        <f t="shared" si="4"/>
        <v>60–80%</v>
      </c>
      <c r="O81" s="2">
        <v>19.348461</v>
      </c>
      <c r="P81" s="2" t="str">
        <f t="shared" si="5"/>
        <v>15–20 km/h</v>
      </c>
      <c r="Q81" s="2">
        <v>401</v>
      </c>
      <c r="R81" s="2">
        <v>1676</v>
      </c>
      <c r="S81" s="2">
        <v>2077</v>
      </c>
    </row>
    <row r="82" spans="1:19" x14ac:dyDescent="0.3">
      <c r="A82" s="2">
        <v>81</v>
      </c>
      <c r="B82" s="1" t="s">
        <v>505</v>
      </c>
      <c r="C82" t="s">
        <v>904</v>
      </c>
      <c r="D82">
        <v>2018</v>
      </c>
      <c r="E82" t="s">
        <v>922</v>
      </c>
      <c r="F82" t="s">
        <v>908</v>
      </c>
      <c r="G82" t="s">
        <v>911</v>
      </c>
      <c r="H82" t="s">
        <v>909</v>
      </c>
      <c r="I82" t="s">
        <v>917</v>
      </c>
      <c r="J82" s="2">
        <v>18.108346999999998</v>
      </c>
      <c r="K82" s="2">
        <v>22.0321</v>
      </c>
      <c r="L82" s="2" t="str">
        <f t="shared" si="3"/>
        <v>20–25°C</v>
      </c>
      <c r="M82" s="3">
        <v>62.458300000000001</v>
      </c>
      <c r="N82" s="3" t="str">
        <f t="shared" si="4"/>
        <v>60–80%</v>
      </c>
      <c r="O82" s="2">
        <v>15.125249999999999</v>
      </c>
      <c r="P82" s="2" t="str">
        <f t="shared" si="5"/>
        <v>15–20 km/h</v>
      </c>
      <c r="Q82" s="2">
        <v>460</v>
      </c>
      <c r="R82" s="2">
        <v>2243</v>
      </c>
      <c r="S82" s="2">
        <v>2703</v>
      </c>
    </row>
    <row r="83" spans="1:19" x14ac:dyDescent="0.3">
      <c r="A83" s="2">
        <v>82</v>
      </c>
      <c r="B83" s="1" t="s">
        <v>506</v>
      </c>
      <c r="C83" t="s">
        <v>904</v>
      </c>
      <c r="D83">
        <v>2018</v>
      </c>
      <c r="E83" t="s">
        <v>922</v>
      </c>
      <c r="F83" t="s">
        <v>908</v>
      </c>
      <c r="G83" t="s">
        <v>912</v>
      </c>
      <c r="H83" t="s">
        <v>909</v>
      </c>
      <c r="I83" t="s">
        <v>918</v>
      </c>
      <c r="J83" s="2">
        <v>14.225237</v>
      </c>
      <c r="K83" s="2">
        <v>16.89695</v>
      </c>
      <c r="L83" s="2" t="str">
        <f t="shared" si="3"/>
        <v>15–20°C</v>
      </c>
      <c r="M83" s="3">
        <v>83.956500000000005</v>
      </c>
      <c r="N83" s="3" t="str">
        <f t="shared" si="4"/>
        <v>80–100%</v>
      </c>
      <c r="O83" s="2">
        <v>15.695487</v>
      </c>
      <c r="P83" s="2" t="str">
        <f t="shared" si="5"/>
        <v>15–20 km/h</v>
      </c>
      <c r="Q83" s="2">
        <v>203</v>
      </c>
      <c r="R83" s="2">
        <v>1918</v>
      </c>
      <c r="S83" s="2">
        <v>2121</v>
      </c>
    </row>
    <row r="84" spans="1:19" x14ac:dyDescent="0.3">
      <c r="A84" s="2">
        <v>83</v>
      </c>
      <c r="B84" s="1" t="s">
        <v>507</v>
      </c>
      <c r="C84" t="s">
        <v>904</v>
      </c>
      <c r="D84">
        <v>2018</v>
      </c>
      <c r="E84" t="s">
        <v>922</v>
      </c>
      <c r="F84" t="s">
        <v>908</v>
      </c>
      <c r="G84" t="s">
        <v>913</v>
      </c>
      <c r="H84" t="s">
        <v>909</v>
      </c>
      <c r="I84" t="s">
        <v>918</v>
      </c>
      <c r="J84" s="2">
        <v>11.685</v>
      </c>
      <c r="K84" s="2">
        <v>13.541650000000001</v>
      </c>
      <c r="L84" s="2" t="str">
        <f t="shared" si="3"/>
        <v>10–15°C</v>
      </c>
      <c r="M84" s="3">
        <v>80.583299999999994</v>
      </c>
      <c r="N84" s="3" t="str">
        <f t="shared" si="4"/>
        <v>80–100%</v>
      </c>
      <c r="O84" s="2">
        <v>16.333729000000002</v>
      </c>
      <c r="P84" s="2" t="str">
        <f t="shared" si="5"/>
        <v>15–20 km/h</v>
      </c>
      <c r="Q84" s="2">
        <v>166</v>
      </c>
      <c r="R84" s="2">
        <v>1699</v>
      </c>
      <c r="S84" s="2">
        <v>1865</v>
      </c>
    </row>
    <row r="85" spans="1:19" x14ac:dyDescent="0.3">
      <c r="A85" s="2">
        <v>84</v>
      </c>
      <c r="B85" s="1" t="s">
        <v>508</v>
      </c>
      <c r="C85" t="s">
        <v>904</v>
      </c>
      <c r="D85">
        <v>2018</v>
      </c>
      <c r="E85" t="s">
        <v>922</v>
      </c>
      <c r="F85" t="s">
        <v>908</v>
      </c>
      <c r="G85" t="s">
        <v>914</v>
      </c>
      <c r="H85" t="s">
        <v>909</v>
      </c>
      <c r="I85" t="s">
        <v>917</v>
      </c>
      <c r="J85" s="2">
        <v>10.830847</v>
      </c>
      <c r="K85" s="2">
        <v>12.8156</v>
      </c>
      <c r="L85" s="2" t="str">
        <f t="shared" si="3"/>
        <v>10–15°C</v>
      </c>
      <c r="M85" s="3">
        <v>49.5</v>
      </c>
      <c r="N85" s="3" t="str">
        <f t="shared" si="4"/>
        <v>40–60%</v>
      </c>
      <c r="O85" s="2">
        <v>15.458575</v>
      </c>
      <c r="P85" s="2" t="str">
        <f t="shared" si="5"/>
        <v>15–20 km/h</v>
      </c>
      <c r="Q85" s="2">
        <v>300</v>
      </c>
      <c r="R85" s="2">
        <v>1910</v>
      </c>
      <c r="S85" s="2">
        <v>2210</v>
      </c>
    </row>
    <row r="86" spans="1:19" x14ac:dyDescent="0.3">
      <c r="A86" s="2">
        <v>85</v>
      </c>
      <c r="B86" s="1" t="s">
        <v>509</v>
      </c>
      <c r="C86" t="s">
        <v>904</v>
      </c>
      <c r="D86">
        <v>2018</v>
      </c>
      <c r="E86" t="s">
        <v>922</v>
      </c>
      <c r="F86" t="s">
        <v>908</v>
      </c>
      <c r="G86" t="s">
        <v>915</v>
      </c>
      <c r="H86" t="s">
        <v>908</v>
      </c>
      <c r="I86" t="s">
        <v>917</v>
      </c>
      <c r="J86" s="2">
        <v>10.899153</v>
      </c>
      <c r="K86" s="2">
        <v>12.878550000000001</v>
      </c>
      <c r="L86" s="2" t="str">
        <f t="shared" si="3"/>
        <v>10–15°C</v>
      </c>
      <c r="M86" s="3">
        <v>39.416699999999999</v>
      </c>
      <c r="N86" s="3" t="str">
        <f t="shared" si="4"/>
        <v>20–40%</v>
      </c>
      <c r="O86" s="2">
        <v>14.041257</v>
      </c>
      <c r="P86" s="2" t="str">
        <f t="shared" si="5"/>
        <v>10–15 km/h</v>
      </c>
      <c r="Q86" s="2">
        <v>981</v>
      </c>
      <c r="R86" s="2">
        <v>1515</v>
      </c>
      <c r="S86" s="2">
        <v>2496</v>
      </c>
    </row>
    <row r="87" spans="1:19" x14ac:dyDescent="0.3">
      <c r="A87" s="2">
        <v>86</v>
      </c>
      <c r="B87" s="1" t="s">
        <v>510</v>
      </c>
      <c r="C87" t="s">
        <v>904</v>
      </c>
      <c r="D87">
        <v>2018</v>
      </c>
      <c r="E87" t="s">
        <v>922</v>
      </c>
      <c r="F87" t="s">
        <v>908</v>
      </c>
      <c r="G87" t="s">
        <v>916</v>
      </c>
      <c r="H87" t="s">
        <v>908</v>
      </c>
      <c r="I87" t="s">
        <v>918</v>
      </c>
      <c r="J87" s="2">
        <v>10.374763</v>
      </c>
      <c r="K87" s="2">
        <v>12.51695</v>
      </c>
      <c r="L87" s="2" t="str">
        <f t="shared" si="3"/>
        <v>10–15°C</v>
      </c>
      <c r="M87" s="3">
        <v>49.391300000000001</v>
      </c>
      <c r="N87" s="3" t="str">
        <f t="shared" si="4"/>
        <v>40–60%</v>
      </c>
      <c r="O87" s="2">
        <v>12.348100000000001</v>
      </c>
      <c r="P87" s="2" t="str">
        <f t="shared" si="5"/>
        <v>10–15 km/h</v>
      </c>
      <c r="Q87" s="2">
        <v>472</v>
      </c>
      <c r="R87" s="2">
        <v>1221</v>
      </c>
      <c r="S87" s="2">
        <v>1693</v>
      </c>
    </row>
    <row r="88" spans="1:19" x14ac:dyDescent="0.3">
      <c r="A88" s="2">
        <v>87</v>
      </c>
      <c r="B88" s="1" t="s">
        <v>511</v>
      </c>
      <c r="C88" t="s">
        <v>904</v>
      </c>
      <c r="D88">
        <v>2018</v>
      </c>
      <c r="E88" t="s">
        <v>922</v>
      </c>
      <c r="F88" t="s">
        <v>908</v>
      </c>
      <c r="G88" t="s">
        <v>910</v>
      </c>
      <c r="H88" t="s">
        <v>909</v>
      </c>
      <c r="I88" t="s">
        <v>917</v>
      </c>
      <c r="J88" s="2">
        <v>10.838267999999999</v>
      </c>
      <c r="K88" s="2">
        <v>12.8787</v>
      </c>
      <c r="L88" s="2" t="str">
        <f t="shared" si="3"/>
        <v>10–15°C</v>
      </c>
      <c r="M88" s="3">
        <v>30.217400000000001</v>
      </c>
      <c r="N88" s="3" t="str">
        <f t="shared" si="4"/>
        <v>20–40%</v>
      </c>
      <c r="O88" s="2">
        <v>14.217668</v>
      </c>
      <c r="P88" s="2" t="str">
        <f t="shared" si="5"/>
        <v>10–15 km/h</v>
      </c>
      <c r="Q88" s="2">
        <v>222</v>
      </c>
      <c r="R88" s="2">
        <v>1806</v>
      </c>
      <c r="S88" s="2">
        <v>2028</v>
      </c>
    </row>
    <row r="89" spans="1:19" x14ac:dyDescent="0.3">
      <c r="A89" s="2">
        <v>88</v>
      </c>
      <c r="B89" s="1" t="s">
        <v>512</v>
      </c>
      <c r="C89" t="s">
        <v>904</v>
      </c>
      <c r="D89">
        <v>2018</v>
      </c>
      <c r="E89" t="s">
        <v>922</v>
      </c>
      <c r="F89" t="s">
        <v>908</v>
      </c>
      <c r="G89" t="s">
        <v>911</v>
      </c>
      <c r="H89" t="s">
        <v>909</v>
      </c>
      <c r="I89" t="s">
        <v>917</v>
      </c>
      <c r="J89" s="2">
        <v>12.4025</v>
      </c>
      <c r="K89" s="2">
        <v>14.6454</v>
      </c>
      <c r="L89" s="2" t="str">
        <f t="shared" si="3"/>
        <v>10–15°C</v>
      </c>
      <c r="M89" s="3">
        <v>31.416699999999999</v>
      </c>
      <c r="N89" s="3" t="str">
        <f t="shared" si="4"/>
        <v>20–40%</v>
      </c>
      <c r="O89" s="2">
        <v>15.208731999999999</v>
      </c>
      <c r="P89" s="2" t="str">
        <f t="shared" si="5"/>
        <v>15–20 km/h</v>
      </c>
      <c r="Q89" s="2">
        <v>317</v>
      </c>
      <c r="R89" s="2">
        <v>2108</v>
      </c>
      <c r="S89" s="2">
        <v>2425</v>
      </c>
    </row>
    <row r="90" spans="1:19" x14ac:dyDescent="0.3">
      <c r="A90" s="2">
        <v>89</v>
      </c>
      <c r="B90" s="1" t="s">
        <v>513</v>
      </c>
      <c r="C90" t="s">
        <v>904</v>
      </c>
      <c r="D90">
        <v>2018</v>
      </c>
      <c r="E90" t="s">
        <v>922</v>
      </c>
      <c r="F90" t="s">
        <v>908</v>
      </c>
      <c r="G90" t="s">
        <v>912</v>
      </c>
      <c r="H90" t="s">
        <v>909</v>
      </c>
      <c r="I90" t="s">
        <v>918</v>
      </c>
      <c r="J90" s="2">
        <v>12.3</v>
      </c>
      <c r="K90" s="2">
        <v>14.8675</v>
      </c>
      <c r="L90" s="2" t="str">
        <f t="shared" si="3"/>
        <v>10–15°C</v>
      </c>
      <c r="M90" s="3">
        <v>64.666700000000006</v>
      </c>
      <c r="N90" s="3" t="str">
        <f t="shared" si="4"/>
        <v>60–80%</v>
      </c>
      <c r="O90" s="2">
        <v>11.583496</v>
      </c>
      <c r="P90" s="2" t="str">
        <f t="shared" si="5"/>
        <v>10–15 km/h</v>
      </c>
      <c r="Q90" s="2">
        <v>168</v>
      </c>
      <c r="R90" s="2">
        <v>1368</v>
      </c>
      <c r="S90" s="2">
        <v>1536</v>
      </c>
    </row>
    <row r="91" spans="1:19" x14ac:dyDescent="0.3">
      <c r="A91" s="2">
        <v>90</v>
      </c>
      <c r="B91" s="1" t="s">
        <v>514</v>
      </c>
      <c r="C91" t="s">
        <v>904</v>
      </c>
      <c r="D91">
        <v>2018</v>
      </c>
      <c r="E91" t="s">
        <v>922</v>
      </c>
      <c r="F91" t="s">
        <v>908</v>
      </c>
      <c r="G91" t="s">
        <v>913</v>
      </c>
      <c r="H91" t="s">
        <v>909</v>
      </c>
      <c r="I91" t="s">
        <v>919</v>
      </c>
      <c r="J91" s="2">
        <v>11.001652999999999</v>
      </c>
      <c r="K91" s="2">
        <v>12.87875</v>
      </c>
      <c r="L91" s="2" t="str">
        <f t="shared" si="3"/>
        <v>10–15°C</v>
      </c>
      <c r="M91" s="3">
        <v>91.833299999999994</v>
      </c>
      <c r="N91" s="3" t="str">
        <f t="shared" si="4"/>
        <v>80–100%</v>
      </c>
      <c r="O91" s="2">
        <v>14.582281999999999</v>
      </c>
      <c r="P91" s="2" t="str">
        <f t="shared" si="5"/>
        <v>10–15 km/h</v>
      </c>
      <c r="Q91" s="2">
        <v>179</v>
      </c>
      <c r="R91" s="2">
        <v>1506</v>
      </c>
      <c r="S91" s="2">
        <v>1685</v>
      </c>
    </row>
    <row r="92" spans="1:19" x14ac:dyDescent="0.3">
      <c r="A92" s="2">
        <v>91</v>
      </c>
      <c r="B92" s="1">
        <v>43104</v>
      </c>
      <c r="C92" t="s">
        <v>904</v>
      </c>
      <c r="D92">
        <v>2018</v>
      </c>
      <c r="E92" t="s">
        <v>923</v>
      </c>
      <c r="F92" t="s">
        <v>908</v>
      </c>
      <c r="G92" t="s">
        <v>914</v>
      </c>
      <c r="H92" t="s">
        <v>909</v>
      </c>
      <c r="I92" t="s">
        <v>918</v>
      </c>
      <c r="J92" s="2">
        <v>12.3</v>
      </c>
      <c r="K92" s="2">
        <v>14.172700000000001</v>
      </c>
      <c r="L92" s="2" t="str">
        <f t="shared" si="3"/>
        <v>10–15°C</v>
      </c>
      <c r="M92" s="3">
        <v>68.625</v>
      </c>
      <c r="N92" s="3" t="str">
        <f t="shared" si="4"/>
        <v>60–80%</v>
      </c>
      <c r="O92" s="2">
        <v>17.333435999999999</v>
      </c>
      <c r="P92" s="2" t="str">
        <f t="shared" si="5"/>
        <v>15–20 km/h</v>
      </c>
      <c r="Q92" s="2">
        <v>307</v>
      </c>
      <c r="R92" s="2">
        <v>1920</v>
      </c>
      <c r="S92" s="2">
        <v>2227</v>
      </c>
    </row>
    <row r="93" spans="1:19" x14ac:dyDescent="0.3">
      <c r="A93" s="2">
        <v>92</v>
      </c>
      <c r="B93" s="1">
        <v>43135</v>
      </c>
      <c r="C93" t="s">
        <v>904</v>
      </c>
      <c r="D93">
        <v>2018</v>
      </c>
      <c r="E93" t="s">
        <v>923</v>
      </c>
      <c r="F93" t="s">
        <v>908</v>
      </c>
      <c r="G93" t="s">
        <v>915</v>
      </c>
      <c r="H93" t="s">
        <v>908</v>
      </c>
      <c r="I93" t="s">
        <v>918</v>
      </c>
      <c r="J93" s="2">
        <v>12.914999999999999</v>
      </c>
      <c r="K93" s="2">
        <v>15.78185</v>
      </c>
      <c r="L93" s="2" t="str">
        <f t="shared" si="3"/>
        <v>15–20°C</v>
      </c>
      <c r="M93" s="3">
        <v>65.375</v>
      </c>
      <c r="N93" s="3" t="str">
        <f t="shared" si="4"/>
        <v>60–80%</v>
      </c>
      <c r="O93" s="2">
        <v>13.208781999999999</v>
      </c>
      <c r="P93" s="2" t="str">
        <f t="shared" si="5"/>
        <v>10–15 km/h</v>
      </c>
      <c r="Q93" s="2">
        <v>898</v>
      </c>
      <c r="R93" s="2">
        <v>1354</v>
      </c>
      <c r="S93" s="2">
        <v>2252</v>
      </c>
    </row>
    <row r="94" spans="1:19" x14ac:dyDescent="0.3">
      <c r="A94" s="2">
        <v>93</v>
      </c>
      <c r="B94" s="1">
        <v>43163</v>
      </c>
      <c r="C94" t="s">
        <v>904</v>
      </c>
      <c r="D94">
        <v>2018</v>
      </c>
      <c r="E94" t="s">
        <v>923</v>
      </c>
      <c r="F94" t="s">
        <v>908</v>
      </c>
      <c r="G94" t="s">
        <v>916</v>
      </c>
      <c r="H94" t="s">
        <v>908</v>
      </c>
      <c r="I94" t="s">
        <v>917</v>
      </c>
      <c r="J94" s="2">
        <v>15.511653000000001</v>
      </c>
      <c r="K94" s="2">
        <v>18.93835</v>
      </c>
      <c r="L94" s="2" t="str">
        <f t="shared" si="3"/>
        <v>15–20°C</v>
      </c>
      <c r="M94" s="3">
        <v>48</v>
      </c>
      <c r="N94" s="3" t="str">
        <f t="shared" si="4"/>
        <v>40–60%</v>
      </c>
      <c r="O94" s="2">
        <v>12.208271</v>
      </c>
      <c r="P94" s="2" t="str">
        <f t="shared" si="5"/>
        <v>10–15 km/h</v>
      </c>
      <c r="Q94" s="2">
        <v>1651</v>
      </c>
      <c r="R94" s="2">
        <v>1598</v>
      </c>
      <c r="S94" s="2">
        <v>3249</v>
      </c>
    </row>
    <row r="95" spans="1:19" x14ac:dyDescent="0.3">
      <c r="A95" s="2">
        <v>94</v>
      </c>
      <c r="B95" s="1">
        <v>43194</v>
      </c>
      <c r="C95" t="s">
        <v>904</v>
      </c>
      <c r="D95">
        <v>2018</v>
      </c>
      <c r="E95" t="s">
        <v>923</v>
      </c>
      <c r="F95" t="s">
        <v>908</v>
      </c>
      <c r="G95" t="s">
        <v>910</v>
      </c>
      <c r="H95" t="s">
        <v>909</v>
      </c>
      <c r="I95" t="s">
        <v>917</v>
      </c>
      <c r="J95" s="2">
        <v>23.506653</v>
      </c>
      <c r="K95" s="2">
        <v>27.146450000000002</v>
      </c>
      <c r="L95" s="2" t="str">
        <f t="shared" si="3"/>
        <v>25–30°C</v>
      </c>
      <c r="M95" s="3">
        <v>42.625</v>
      </c>
      <c r="N95" s="3" t="str">
        <f t="shared" si="4"/>
        <v>40–60%</v>
      </c>
      <c r="O95" s="2">
        <v>25.833257</v>
      </c>
      <c r="P95" s="2" t="str">
        <f t="shared" si="5"/>
        <v>25–30 km/h</v>
      </c>
      <c r="Q95" s="2">
        <v>734</v>
      </c>
      <c r="R95" s="2">
        <v>2381</v>
      </c>
      <c r="S95" s="2">
        <v>3115</v>
      </c>
    </row>
    <row r="96" spans="1:19" x14ac:dyDescent="0.3">
      <c r="A96" s="2">
        <v>95</v>
      </c>
      <c r="B96" s="1">
        <v>43224</v>
      </c>
      <c r="C96" t="s">
        <v>904</v>
      </c>
      <c r="D96">
        <v>2018</v>
      </c>
      <c r="E96" t="s">
        <v>923</v>
      </c>
      <c r="F96" t="s">
        <v>908</v>
      </c>
      <c r="G96" t="s">
        <v>911</v>
      </c>
      <c r="H96" t="s">
        <v>909</v>
      </c>
      <c r="I96" t="s">
        <v>918</v>
      </c>
      <c r="J96" s="2">
        <v>16.980847000000001</v>
      </c>
      <c r="K96" s="2">
        <v>19.9175</v>
      </c>
      <c r="L96" s="2" t="str">
        <f t="shared" si="3"/>
        <v>15–20°C</v>
      </c>
      <c r="M96" s="3">
        <v>64.208299999999994</v>
      </c>
      <c r="N96" s="3" t="str">
        <f t="shared" si="4"/>
        <v>60–80%</v>
      </c>
      <c r="O96" s="2">
        <v>26.000489000000002</v>
      </c>
      <c r="P96" s="2" t="str">
        <f t="shared" si="5"/>
        <v>25–30 km/h</v>
      </c>
      <c r="Q96" s="2">
        <v>167</v>
      </c>
      <c r="R96" s="2">
        <v>1628</v>
      </c>
      <c r="S96" s="2">
        <v>1795</v>
      </c>
    </row>
    <row r="97" spans="1:19" x14ac:dyDescent="0.3">
      <c r="A97" s="2">
        <v>96</v>
      </c>
      <c r="B97" s="1">
        <v>43255</v>
      </c>
      <c r="C97" t="s">
        <v>904</v>
      </c>
      <c r="D97">
        <v>2018</v>
      </c>
      <c r="E97" t="s">
        <v>923</v>
      </c>
      <c r="F97" t="s">
        <v>908</v>
      </c>
      <c r="G97" t="s">
        <v>912</v>
      </c>
      <c r="H97" t="s">
        <v>909</v>
      </c>
      <c r="I97" t="s">
        <v>917</v>
      </c>
      <c r="J97" s="2">
        <v>16.024152999999998</v>
      </c>
      <c r="K97" s="2">
        <v>19.380400000000002</v>
      </c>
      <c r="L97" s="2" t="str">
        <f t="shared" si="3"/>
        <v>15–20°C</v>
      </c>
      <c r="M97" s="3">
        <v>47.083300000000001</v>
      </c>
      <c r="N97" s="3" t="str">
        <f t="shared" si="4"/>
        <v>40–60%</v>
      </c>
      <c r="O97" s="2">
        <v>17.625221</v>
      </c>
      <c r="P97" s="2" t="str">
        <f t="shared" si="5"/>
        <v>15–20 km/h</v>
      </c>
      <c r="Q97" s="2">
        <v>413</v>
      </c>
      <c r="R97" s="2">
        <v>2395</v>
      </c>
      <c r="S97" s="2">
        <v>2808</v>
      </c>
    </row>
    <row r="98" spans="1:19" x14ac:dyDescent="0.3">
      <c r="A98" s="2">
        <v>97</v>
      </c>
      <c r="B98" s="1">
        <v>43285</v>
      </c>
      <c r="C98" t="s">
        <v>904</v>
      </c>
      <c r="D98">
        <v>2018</v>
      </c>
      <c r="E98" t="s">
        <v>923</v>
      </c>
      <c r="F98" t="s">
        <v>908</v>
      </c>
      <c r="G98" t="s">
        <v>913</v>
      </c>
      <c r="H98" t="s">
        <v>909</v>
      </c>
      <c r="I98" t="s">
        <v>917</v>
      </c>
      <c r="J98" s="2">
        <v>17.9375</v>
      </c>
      <c r="K98" s="2">
        <v>21.684799999999999</v>
      </c>
      <c r="L98" s="2" t="str">
        <f t="shared" si="3"/>
        <v>20–25°C</v>
      </c>
      <c r="M98" s="3">
        <v>60.291699999999999</v>
      </c>
      <c r="N98" s="3" t="str">
        <f t="shared" si="4"/>
        <v>60–80%</v>
      </c>
      <c r="O98" s="2">
        <v>10.874904000000001</v>
      </c>
      <c r="P98" s="2" t="str">
        <f t="shared" si="5"/>
        <v>10–15 km/h</v>
      </c>
      <c r="Q98" s="2">
        <v>571</v>
      </c>
      <c r="R98" s="2">
        <v>2570</v>
      </c>
      <c r="S98" s="2">
        <v>3141</v>
      </c>
    </row>
    <row r="99" spans="1:19" x14ac:dyDescent="0.3">
      <c r="A99" s="2">
        <v>98</v>
      </c>
      <c r="B99" s="1">
        <v>43316</v>
      </c>
      <c r="C99" t="s">
        <v>904</v>
      </c>
      <c r="D99">
        <v>2018</v>
      </c>
      <c r="E99" t="s">
        <v>923</v>
      </c>
      <c r="F99" t="s">
        <v>908</v>
      </c>
      <c r="G99" t="s">
        <v>914</v>
      </c>
      <c r="H99" t="s">
        <v>909</v>
      </c>
      <c r="I99" t="s">
        <v>918</v>
      </c>
      <c r="J99" s="2">
        <v>13.769152999999999</v>
      </c>
      <c r="K99" s="2">
        <v>16.223949999999999</v>
      </c>
      <c r="L99" s="2" t="str">
        <f t="shared" si="3"/>
        <v>15–20°C</v>
      </c>
      <c r="M99" s="3">
        <v>83.625</v>
      </c>
      <c r="N99" s="3" t="str">
        <f t="shared" si="4"/>
        <v>80–100%</v>
      </c>
      <c r="O99" s="2">
        <v>15.208463999999999</v>
      </c>
      <c r="P99" s="2" t="str">
        <f t="shared" si="5"/>
        <v>15–20 km/h</v>
      </c>
      <c r="Q99" s="2">
        <v>172</v>
      </c>
      <c r="R99" s="2">
        <v>1299</v>
      </c>
      <c r="S99" s="2">
        <v>1471</v>
      </c>
    </row>
    <row r="100" spans="1:19" x14ac:dyDescent="0.3">
      <c r="A100" s="2">
        <v>99</v>
      </c>
      <c r="B100" s="1">
        <v>43347</v>
      </c>
      <c r="C100" t="s">
        <v>904</v>
      </c>
      <c r="D100">
        <v>2018</v>
      </c>
      <c r="E100" t="s">
        <v>923</v>
      </c>
      <c r="F100" t="s">
        <v>908</v>
      </c>
      <c r="G100" t="s">
        <v>915</v>
      </c>
      <c r="H100" t="s">
        <v>908</v>
      </c>
      <c r="I100" t="s">
        <v>918</v>
      </c>
      <c r="J100" s="2">
        <v>14.0425</v>
      </c>
      <c r="K100" s="2">
        <v>17.076450000000001</v>
      </c>
      <c r="L100" s="2" t="str">
        <f t="shared" si="3"/>
        <v>15–20°C</v>
      </c>
      <c r="M100" s="3">
        <v>87.75</v>
      </c>
      <c r="N100" s="3" t="str">
        <f t="shared" si="4"/>
        <v>80–100%</v>
      </c>
      <c r="O100" s="2">
        <v>8.9165609999999997</v>
      </c>
      <c r="P100" s="2" t="str">
        <f t="shared" si="5"/>
        <v>5–10 km/h</v>
      </c>
      <c r="Q100" s="2">
        <v>879</v>
      </c>
      <c r="R100" s="2">
        <v>1576</v>
      </c>
      <c r="S100" s="2">
        <v>2455</v>
      </c>
    </row>
    <row r="101" spans="1:19" x14ac:dyDescent="0.3">
      <c r="A101" s="2">
        <v>100</v>
      </c>
      <c r="B101" s="1">
        <v>43377</v>
      </c>
      <c r="C101" t="s">
        <v>904</v>
      </c>
      <c r="D101">
        <v>2018</v>
      </c>
      <c r="E101" t="s">
        <v>923</v>
      </c>
      <c r="F101" t="s">
        <v>908</v>
      </c>
      <c r="G101" t="s">
        <v>916</v>
      </c>
      <c r="H101" t="s">
        <v>908</v>
      </c>
      <c r="I101" t="s">
        <v>918</v>
      </c>
      <c r="J101" s="2">
        <v>17.493347</v>
      </c>
      <c r="K101" s="2">
        <v>21.336849999999998</v>
      </c>
      <c r="L101" s="2" t="str">
        <f t="shared" si="3"/>
        <v>20–25°C</v>
      </c>
      <c r="M101" s="3">
        <v>85.75</v>
      </c>
      <c r="N101" s="3" t="str">
        <f t="shared" si="4"/>
        <v>80–100%</v>
      </c>
      <c r="O101" s="2">
        <v>9.8333890000000004</v>
      </c>
      <c r="P101" s="2" t="str">
        <f t="shared" si="5"/>
        <v>5–10 km/h</v>
      </c>
      <c r="Q101" s="2">
        <v>1188</v>
      </c>
      <c r="R101" s="2">
        <v>1707</v>
      </c>
      <c r="S101" s="2">
        <v>2895</v>
      </c>
    </row>
    <row r="102" spans="1:19" x14ac:dyDescent="0.3">
      <c r="A102" s="2">
        <v>101</v>
      </c>
      <c r="B102" s="1">
        <v>43408</v>
      </c>
      <c r="C102" t="s">
        <v>904</v>
      </c>
      <c r="D102">
        <v>2018</v>
      </c>
      <c r="E102" t="s">
        <v>923</v>
      </c>
      <c r="F102" t="s">
        <v>908</v>
      </c>
      <c r="G102" t="s">
        <v>910</v>
      </c>
      <c r="H102" t="s">
        <v>909</v>
      </c>
      <c r="I102" t="s">
        <v>918</v>
      </c>
      <c r="J102" s="2">
        <v>24.421731999999999</v>
      </c>
      <c r="K102" s="2">
        <v>28.260850000000001</v>
      </c>
      <c r="L102" s="2" t="str">
        <f t="shared" si="3"/>
        <v>25–30°C</v>
      </c>
      <c r="M102" s="3">
        <v>71.695599999999999</v>
      </c>
      <c r="N102" s="3" t="str">
        <f t="shared" si="4"/>
        <v>60–80%</v>
      </c>
      <c r="O102" s="2">
        <v>21.739757999999998</v>
      </c>
      <c r="P102" s="2" t="str">
        <f t="shared" si="5"/>
        <v>20–25 km/h</v>
      </c>
      <c r="Q102" s="2">
        <v>855</v>
      </c>
      <c r="R102" s="2">
        <v>2493</v>
      </c>
      <c r="S102" s="2">
        <v>3348</v>
      </c>
    </row>
    <row r="103" spans="1:19" x14ac:dyDescent="0.3">
      <c r="A103" s="2">
        <v>102</v>
      </c>
      <c r="B103" s="1">
        <v>43438</v>
      </c>
      <c r="C103" t="s">
        <v>904</v>
      </c>
      <c r="D103">
        <v>2018</v>
      </c>
      <c r="E103" t="s">
        <v>923</v>
      </c>
      <c r="F103" t="s">
        <v>908</v>
      </c>
      <c r="G103" t="s">
        <v>911</v>
      </c>
      <c r="H103" t="s">
        <v>909</v>
      </c>
      <c r="I103" t="s">
        <v>918</v>
      </c>
      <c r="J103" s="2">
        <v>20.602499999999999</v>
      </c>
      <c r="K103" s="2">
        <v>24.652699999999999</v>
      </c>
      <c r="L103" s="2" t="str">
        <f t="shared" si="3"/>
        <v>20–25°C</v>
      </c>
      <c r="M103" s="3">
        <v>73.916700000000006</v>
      </c>
      <c r="N103" s="3" t="str">
        <f t="shared" si="4"/>
        <v>60–80%</v>
      </c>
      <c r="O103" s="2">
        <v>18.416893000000002</v>
      </c>
      <c r="P103" s="2" t="str">
        <f t="shared" si="5"/>
        <v>15–20 km/h</v>
      </c>
      <c r="Q103" s="2">
        <v>257</v>
      </c>
      <c r="R103" s="2">
        <v>1777</v>
      </c>
      <c r="S103" s="2">
        <v>2034</v>
      </c>
    </row>
    <row r="104" spans="1:19" x14ac:dyDescent="0.3">
      <c r="A104" s="2">
        <v>103</v>
      </c>
      <c r="B104" s="1" t="s">
        <v>515</v>
      </c>
      <c r="C104" t="s">
        <v>904</v>
      </c>
      <c r="D104">
        <v>2018</v>
      </c>
      <c r="E104" t="s">
        <v>923</v>
      </c>
      <c r="F104" t="s">
        <v>908</v>
      </c>
      <c r="G104" t="s">
        <v>912</v>
      </c>
      <c r="H104" t="s">
        <v>909</v>
      </c>
      <c r="I104" t="s">
        <v>918</v>
      </c>
      <c r="J104" s="2">
        <v>16.912500000000001</v>
      </c>
      <c r="K104" s="2">
        <v>20.864149999999999</v>
      </c>
      <c r="L104" s="2" t="str">
        <f t="shared" si="3"/>
        <v>20–25°C</v>
      </c>
      <c r="M104" s="3">
        <v>81.916700000000006</v>
      </c>
      <c r="N104" s="3" t="str">
        <f t="shared" si="4"/>
        <v>80–100%</v>
      </c>
      <c r="O104" s="2">
        <v>16.791339000000001</v>
      </c>
      <c r="P104" s="2" t="str">
        <f t="shared" si="5"/>
        <v>15–20 km/h</v>
      </c>
      <c r="Q104" s="2">
        <v>209</v>
      </c>
      <c r="R104" s="2">
        <v>1953</v>
      </c>
      <c r="S104" s="2">
        <v>2162</v>
      </c>
    </row>
    <row r="105" spans="1:19" x14ac:dyDescent="0.3">
      <c r="A105" s="2">
        <v>104</v>
      </c>
      <c r="B105" s="1" t="s">
        <v>516</v>
      </c>
      <c r="C105" t="s">
        <v>904</v>
      </c>
      <c r="D105">
        <v>2018</v>
      </c>
      <c r="E105" t="s">
        <v>923</v>
      </c>
      <c r="F105" t="s">
        <v>908</v>
      </c>
      <c r="G105" t="s">
        <v>913</v>
      </c>
      <c r="H105" t="s">
        <v>909</v>
      </c>
      <c r="I105" t="s">
        <v>917</v>
      </c>
      <c r="J105" s="2">
        <v>19.1675</v>
      </c>
      <c r="K105" s="2">
        <v>23.1371</v>
      </c>
      <c r="L105" s="2" t="str">
        <f t="shared" si="3"/>
        <v>20–25°C</v>
      </c>
      <c r="M105" s="3">
        <v>54.041699999999999</v>
      </c>
      <c r="N105" s="3" t="str">
        <f t="shared" si="4"/>
        <v>40–60%</v>
      </c>
      <c r="O105" s="2">
        <v>7.4169</v>
      </c>
      <c r="P105" s="2" t="str">
        <f t="shared" si="5"/>
        <v>5–10 km/h</v>
      </c>
      <c r="Q105" s="2">
        <v>529</v>
      </c>
      <c r="R105" s="2">
        <v>2738</v>
      </c>
      <c r="S105" s="2">
        <v>3267</v>
      </c>
    </row>
    <row r="106" spans="1:19" x14ac:dyDescent="0.3">
      <c r="A106" s="2">
        <v>105</v>
      </c>
      <c r="B106" s="1" t="s">
        <v>517</v>
      </c>
      <c r="C106" t="s">
        <v>904</v>
      </c>
      <c r="D106">
        <v>2018</v>
      </c>
      <c r="E106" t="s">
        <v>923</v>
      </c>
      <c r="F106" t="s">
        <v>909</v>
      </c>
      <c r="G106" t="s">
        <v>914</v>
      </c>
      <c r="H106" t="s">
        <v>908</v>
      </c>
      <c r="I106" t="s">
        <v>917</v>
      </c>
      <c r="J106" s="2">
        <v>18.313347</v>
      </c>
      <c r="K106" s="2">
        <v>22.095649999999999</v>
      </c>
      <c r="L106" s="2" t="str">
        <f t="shared" si="3"/>
        <v>20–25°C</v>
      </c>
      <c r="M106" s="3">
        <v>67.125</v>
      </c>
      <c r="N106" s="3" t="str">
        <f t="shared" si="4"/>
        <v>60–80%</v>
      </c>
      <c r="O106" s="2">
        <v>15.167125</v>
      </c>
      <c r="P106" s="2" t="str">
        <f t="shared" si="5"/>
        <v>15–20 km/h</v>
      </c>
      <c r="Q106" s="2">
        <v>642</v>
      </c>
      <c r="R106" s="2">
        <v>2484</v>
      </c>
      <c r="S106" s="2">
        <v>3126</v>
      </c>
    </row>
    <row r="107" spans="1:19" x14ac:dyDescent="0.3">
      <c r="A107" s="2">
        <v>106</v>
      </c>
      <c r="B107" s="1" t="s">
        <v>518</v>
      </c>
      <c r="C107" t="s">
        <v>904</v>
      </c>
      <c r="D107">
        <v>2018</v>
      </c>
      <c r="E107" t="s">
        <v>923</v>
      </c>
      <c r="F107" t="s">
        <v>908</v>
      </c>
      <c r="G107" t="s">
        <v>915</v>
      </c>
      <c r="H107" t="s">
        <v>908</v>
      </c>
      <c r="I107" t="s">
        <v>919</v>
      </c>
      <c r="J107" s="2">
        <v>17.664152999999999</v>
      </c>
      <c r="K107" s="2">
        <v>21.2746</v>
      </c>
      <c r="L107" s="2" t="str">
        <f t="shared" si="3"/>
        <v>20–25°C</v>
      </c>
      <c r="M107" s="3">
        <v>88.833299999999994</v>
      </c>
      <c r="N107" s="3" t="str">
        <f t="shared" si="4"/>
        <v>80–100%</v>
      </c>
      <c r="O107" s="2">
        <v>22.834136000000001</v>
      </c>
      <c r="P107" s="2" t="str">
        <f t="shared" si="5"/>
        <v>20–25 km/h</v>
      </c>
      <c r="Q107" s="2">
        <v>121</v>
      </c>
      <c r="R107" s="2">
        <v>674</v>
      </c>
      <c r="S107" s="2">
        <v>795</v>
      </c>
    </row>
    <row r="108" spans="1:19" x14ac:dyDescent="0.3">
      <c r="A108" s="2">
        <v>107</v>
      </c>
      <c r="B108" s="1" t="s">
        <v>519</v>
      </c>
      <c r="C108" t="s">
        <v>904</v>
      </c>
      <c r="D108">
        <v>2018</v>
      </c>
      <c r="E108" t="s">
        <v>923</v>
      </c>
      <c r="F108" t="s">
        <v>908</v>
      </c>
      <c r="G108" t="s">
        <v>916</v>
      </c>
      <c r="H108" t="s">
        <v>908</v>
      </c>
      <c r="I108" t="s">
        <v>917</v>
      </c>
      <c r="J108" s="2">
        <v>18.723347</v>
      </c>
      <c r="K108" s="2">
        <v>22.284800000000001</v>
      </c>
      <c r="L108" s="2" t="str">
        <f t="shared" si="3"/>
        <v>20–25°C</v>
      </c>
      <c r="M108" s="3">
        <v>47.958300000000001</v>
      </c>
      <c r="N108" s="3" t="str">
        <f t="shared" si="4"/>
        <v>40–60%</v>
      </c>
      <c r="O108" s="2">
        <v>20.334232</v>
      </c>
      <c r="P108" s="2" t="str">
        <f t="shared" si="5"/>
        <v>20–25 km/h</v>
      </c>
      <c r="Q108" s="2">
        <v>1558</v>
      </c>
      <c r="R108" s="2">
        <v>2186</v>
      </c>
      <c r="S108" s="2">
        <v>3744</v>
      </c>
    </row>
    <row r="109" spans="1:19" x14ac:dyDescent="0.3">
      <c r="A109" s="2">
        <v>108</v>
      </c>
      <c r="B109" s="1" t="s">
        <v>520</v>
      </c>
      <c r="C109" t="s">
        <v>904</v>
      </c>
      <c r="D109">
        <v>2018</v>
      </c>
      <c r="E109" t="s">
        <v>923</v>
      </c>
      <c r="F109" t="s">
        <v>908</v>
      </c>
      <c r="G109" t="s">
        <v>910</v>
      </c>
      <c r="H109" t="s">
        <v>909</v>
      </c>
      <c r="I109" t="s">
        <v>917</v>
      </c>
      <c r="J109" s="2">
        <v>21.012499999999999</v>
      </c>
      <c r="K109" s="2">
        <v>25.157299999999999</v>
      </c>
      <c r="L109" s="2" t="str">
        <f t="shared" si="3"/>
        <v>25–30°C</v>
      </c>
      <c r="M109" s="3">
        <v>54.25</v>
      </c>
      <c r="N109" s="3" t="str">
        <f t="shared" si="4"/>
        <v>40–60%</v>
      </c>
      <c r="O109" s="2">
        <v>10.958989000000001</v>
      </c>
      <c r="P109" s="2" t="str">
        <f t="shared" si="5"/>
        <v>10–15 km/h</v>
      </c>
      <c r="Q109" s="2">
        <v>669</v>
      </c>
      <c r="R109" s="2">
        <v>2760</v>
      </c>
      <c r="S109" s="2">
        <v>3429</v>
      </c>
    </row>
    <row r="110" spans="1:19" x14ac:dyDescent="0.3">
      <c r="A110" s="2">
        <v>109</v>
      </c>
      <c r="B110" s="1" t="s">
        <v>521</v>
      </c>
      <c r="C110" t="s">
        <v>904</v>
      </c>
      <c r="D110">
        <v>2018</v>
      </c>
      <c r="E110" t="s">
        <v>923</v>
      </c>
      <c r="F110" t="s">
        <v>908</v>
      </c>
      <c r="G110" t="s">
        <v>911</v>
      </c>
      <c r="H110" t="s">
        <v>909</v>
      </c>
      <c r="I110" t="s">
        <v>918</v>
      </c>
      <c r="J110" s="2">
        <v>20.739153000000002</v>
      </c>
      <c r="K110" s="2">
        <v>24.462900000000001</v>
      </c>
      <c r="L110" s="2" t="str">
        <f t="shared" si="3"/>
        <v>20–25°C</v>
      </c>
      <c r="M110" s="3">
        <v>66.583299999999994</v>
      </c>
      <c r="N110" s="3" t="str">
        <f t="shared" si="4"/>
        <v>60–80%</v>
      </c>
      <c r="O110" s="2">
        <v>10.584057</v>
      </c>
      <c r="P110" s="2" t="str">
        <f t="shared" si="5"/>
        <v>10–15 km/h</v>
      </c>
      <c r="Q110" s="2">
        <v>409</v>
      </c>
      <c r="R110" s="2">
        <v>2795</v>
      </c>
      <c r="S110" s="2">
        <v>3204</v>
      </c>
    </row>
    <row r="111" spans="1:19" x14ac:dyDescent="0.3">
      <c r="A111" s="2">
        <v>110</v>
      </c>
      <c r="B111" s="1" t="s">
        <v>522</v>
      </c>
      <c r="C111" t="s">
        <v>904</v>
      </c>
      <c r="D111">
        <v>2018</v>
      </c>
      <c r="E111" t="s">
        <v>923</v>
      </c>
      <c r="F111" t="s">
        <v>908</v>
      </c>
      <c r="G111" t="s">
        <v>912</v>
      </c>
      <c r="H111" t="s">
        <v>909</v>
      </c>
      <c r="I111" t="s">
        <v>917</v>
      </c>
      <c r="J111" s="2">
        <v>24.395</v>
      </c>
      <c r="K111" s="2">
        <v>28.2196</v>
      </c>
      <c r="L111" s="2" t="str">
        <f t="shared" si="3"/>
        <v>25–30°C</v>
      </c>
      <c r="M111" s="3">
        <v>61.416699999999999</v>
      </c>
      <c r="N111" s="3" t="str">
        <f t="shared" si="4"/>
        <v>60–80%</v>
      </c>
      <c r="O111" s="2">
        <v>16.208974999999999</v>
      </c>
      <c r="P111" s="2" t="str">
        <f t="shared" si="5"/>
        <v>15–20 km/h</v>
      </c>
      <c r="Q111" s="2">
        <v>613</v>
      </c>
      <c r="R111" s="2">
        <v>3331</v>
      </c>
      <c r="S111" s="2">
        <v>3944</v>
      </c>
    </row>
    <row r="112" spans="1:19" x14ac:dyDescent="0.3">
      <c r="A112" s="2">
        <v>111</v>
      </c>
      <c r="B112" s="1" t="s">
        <v>523</v>
      </c>
      <c r="C112" t="s">
        <v>904</v>
      </c>
      <c r="D112">
        <v>2018</v>
      </c>
      <c r="E112" t="s">
        <v>923</v>
      </c>
      <c r="F112" t="s">
        <v>908</v>
      </c>
      <c r="G112" t="s">
        <v>913</v>
      </c>
      <c r="H112" t="s">
        <v>909</v>
      </c>
      <c r="I112" t="s">
        <v>917</v>
      </c>
      <c r="J112" s="2">
        <v>18.825847</v>
      </c>
      <c r="K112" s="2">
        <v>22.694600000000001</v>
      </c>
      <c r="L112" s="2" t="str">
        <f t="shared" si="3"/>
        <v>20–25°C</v>
      </c>
      <c r="M112" s="3">
        <v>40.708300000000001</v>
      </c>
      <c r="N112" s="3" t="str">
        <f t="shared" si="4"/>
        <v>40–60%</v>
      </c>
      <c r="O112" s="2">
        <v>21.792286000000001</v>
      </c>
      <c r="P112" s="2" t="str">
        <f t="shared" si="5"/>
        <v>20–25 km/h</v>
      </c>
      <c r="Q112" s="2">
        <v>745</v>
      </c>
      <c r="R112" s="2">
        <v>3444</v>
      </c>
      <c r="S112" s="2">
        <v>4189</v>
      </c>
    </row>
    <row r="113" spans="1:19" x14ac:dyDescent="0.3">
      <c r="A113" s="2">
        <v>112</v>
      </c>
      <c r="B113" s="1" t="s">
        <v>524</v>
      </c>
      <c r="C113" t="s">
        <v>904</v>
      </c>
      <c r="D113">
        <v>2018</v>
      </c>
      <c r="E113" t="s">
        <v>923</v>
      </c>
      <c r="F113" t="s">
        <v>908</v>
      </c>
      <c r="G113" t="s">
        <v>914</v>
      </c>
      <c r="H113" t="s">
        <v>909</v>
      </c>
      <c r="I113" t="s">
        <v>918</v>
      </c>
      <c r="J113" s="2">
        <v>13.803347</v>
      </c>
      <c r="K113" s="2">
        <v>16.0977</v>
      </c>
      <c r="L113" s="2" t="str">
        <f t="shared" si="3"/>
        <v>15–20°C</v>
      </c>
      <c r="M113" s="3">
        <v>72.958299999999994</v>
      </c>
      <c r="N113" s="3" t="str">
        <f t="shared" si="4"/>
        <v>60–80%</v>
      </c>
      <c r="O113" s="2">
        <v>14.707907000000001</v>
      </c>
      <c r="P113" s="2" t="str">
        <f t="shared" si="5"/>
        <v>10–15 km/h</v>
      </c>
      <c r="Q113" s="2">
        <v>177</v>
      </c>
      <c r="R113" s="2">
        <v>1506</v>
      </c>
      <c r="S113" s="2">
        <v>1683</v>
      </c>
    </row>
    <row r="114" spans="1:19" x14ac:dyDescent="0.3">
      <c r="A114" s="2">
        <v>113</v>
      </c>
      <c r="B114" s="1" t="s">
        <v>525</v>
      </c>
      <c r="C114" t="s">
        <v>904</v>
      </c>
      <c r="D114">
        <v>2018</v>
      </c>
      <c r="E114" t="s">
        <v>923</v>
      </c>
      <c r="F114" t="s">
        <v>908</v>
      </c>
      <c r="G114" t="s">
        <v>915</v>
      </c>
      <c r="H114" t="s">
        <v>908</v>
      </c>
      <c r="I114" t="s">
        <v>918</v>
      </c>
      <c r="J114" s="2">
        <v>18.86</v>
      </c>
      <c r="K114" s="2">
        <v>22.506049999999998</v>
      </c>
      <c r="L114" s="2" t="str">
        <f t="shared" si="3"/>
        <v>20–25°C</v>
      </c>
      <c r="M114" s="3">
        <v>88.791700000000006</v>
      </c>
      <c r="N114" s="3" t="str">
        <f t="shared" si="4"/>
        <v>80–100%</v>
      </c>
      <c r="O114" s="2">
        <v>15.458575</v>
      </c>
      <c r="P114" s="2" t="str">
        <f t="shared" si="5"/>
        <v>15–20 km/h</v>
      </c>
      <c r="Q114" s="2">
        <v>1462</v>
      </c>
      <c r="R114" s="2">
        <v>2574</v>
      </c>
      <c r="S114" s="2">
        <v>4036</v>
      </c>
    </row>
    <row r="115" spans="1:19" x14ac:dyDescent="0.3">
      <c r="A115" s="2">
        <v>114</v>
      </c>
      <c r="B115" s="1" t="s">
        <v>526</v>
      </c>
      <c r="C115" t="s">
        <v>904</v>
      </c>
      <c r="D115">
        <v>2018</v>
      </c>
      <c r="E115" t="s">
        <v>923</v>
      </c>
      <c r="F115" t="s">
        <v>908</v>
      </c>
      <c r="G115" t="s">
        <v>916</v>
      </c>
      <c r="H115" t="s">
        <v>908</v>
      </c>
      <c r="I115" t="s">
        <v>918</v>
      </c>
      <c r="J115" s="2">
        <v>23.848347</v>
      </c>
      <c r="K115" s="2">
        <v>27.588149999999999</v>
      </c>
      <c r="L115" s="2" t="str">
        <f t="shared" si="3"/>
        <v>25–30°C</v>
      </c>
      <c r="M115" s="3">
        <v>81.083299999999994</v>
      </c>
      <c r="N115" s="3" t="str">
        <f t="shared" si="4"/>
        <v>80–100%</v>
      </c>
      <c r="O115" s="2">
        <v>12.875724999999999</v>
      </c>
      <c r="P115" s="2" t="str">
        <f t="shared" si="5"/>
        <v>10–15 km/h</v>
      </c>
      <c r="Q115" s="2">
        <v>1710</v>
      </c>
      <c r="R115" s="2">
        <v>2481</v>
      </c>
      <c r="S115" s="2">
        <v>4191</v>
      </c>
    </row>
    <row r="116" spans="1:19" x14ac:dyDescent="0.3">
      <c r="A116" s="2">
        <v>115</v>
      </c>
      <c r="B116" s="1" t="s">
        <v>527</v>
      </c>
      <c r="C116" t="s">
        <v>904</v>
      </c>
      <c r="D116">
        <v>2018</v>
      </c>
      <c r="E116" t="s">
        <v>923</v>
      </c>
      <c r="F116" t="s">
        <v>908</v>
      </c>
      <c r="G116" t="s">
        <v>910</v>
      </c>
      <c r="H116" t="s">
        <v>909</v>
      </c>
      <c r="I116" t="s">
        <v>917</v>
      </c>
      <c r="J116" s="2">
        <v>24.873346999999999</v>
      </c>
      <c r="K116" s="2">
        <v>28.725000000000001</v>
      </c>
      <c r="L116" s="2" t="str">
        <f t="shared" si="3"/>
        <v>25–30°C</v>
      </c>
      <c r="M116" s="3">
        <v>77.666700000000006</v>
      </c>
      <c r="N116" s="3" t="str">
        <f t="shared" si="4"/>
        <v>60–80%</v>
      </c>
      <c r="O116" s="2">
        <v>12.417311</v>
      </c>
      <c r="P116" s="2" t="str">
        <f t="shared" si="5"/>
        <v>10–15 km/h</v>
      </c>
      <c r="Q116" s="2">
        <v>773</v>
      </c>
      <c r="R116" s="2">
        <v>3300</v>
      </c>
      <c r="S116" s="2">
        <v>4073</v>
      </c>
    </row>
    <row r="117" spans="1:19" x14ac:dyDescent="0.3">
      <c r="A117" s="2">
        <v>116</v>
      </c>
      <c r="B117" s="1" t="s">
        <v>528</v>
      </c>
      <c r="C117" t="s">
        <v>904</v>
      </c>
      <c r="D117">
        <v>2018</v>
      </c>
      <c r="E117" t="s">
        <v>923</v>
      </c>
      <c r="F117" t="s">
        <v>908</v>
      </c>
      <c r="G117" t="s">
        <v>911</v>
      </c>
      <c r="H117" t="s">
        <v>909</v>
      </c>
      <c r="I117" t="s">
        <v>917</v>
      </c>
      <c r="J117" s="2">
        <v>25.898347000000001</v>
      </c>
      <c r="K117" s="2">
        <v>29.704149999999998</v>
      </c>
      <c r="L117" s="2" t="str">
        <f t="shared" si="3"/>
        <v>25–30°C</v>
      </c>
      <c r="M117" s="3">
        <v>72.916700000000006</v>
      </c>
      <c r="N117" s="3" t="str">
        <f t="shared" si="4"/>
        <v>60–80%</v>
      </c>
      <c r="O117" s="2">
        <v>21.875499999999999</v>
      </c>
      <c r="P117" s="2" t="str">
        <f t="shared" si="5"/>
        <v>20–25 km/h</v>
      </c>
      <c r="Q117" s="2">
        <v>678</v>
      </c>
      <c r="R117" s="2">
        <v>3722</v>
      </c>
      <c r="S117" s="2">
        <v>4400</v>
      </c>
    </row>
    <row r="118" spans="1:19" x14ac:dyDescent="0.3">
      <c r="A118" s="2">
        <v>117</v>
      </c>
      <c r="B118" s="1" t="s">
        <v>529</v>
      </c>
      <c r="C118" t="s">
        <v>904</v>
      </c>
      <c r="D118">
        <v>2018</v>
      </c>
      <c r="E118" t="s">
        <v>923</v>
      </c>
      <c r="F118" t="s">
        <v>908</v>
      </c>
      <c r="G118" t="s">
        <v>912</v>
      </c>
      <c r="H118" t="s">
        <v>909</v>
      </c>
      <c r="I118" t="s">
        <v>918</v>
      </c>
      <c r="J118" s="2">
        <v>25.42</v>
      </c>
      <c r="K118" s="2">
        <v>28.757100000000001</v>
      </c>
      <c r="L118" s="2" t="str">
        <f t="shared" si="3"/>
        <v>25–30°C</v>
      </c>
      <c r="M118" s="3">
        <v>83.541700000000006</v>
      </c>
      <c r="N118" s="3" t="str">
        <f t="shared" si="4"/>
        <v>80–100%</v>
      </c>
      <c r="O118" s="2">
        <v>20.917400000000001</v>
      </c>
      <c r="P118" s="2" t="str">
        <f t="shared" si="5"/>
        <v>20–25 km/h</v>
      </c>
      <c r="Q118" s="2">
        <v>547</v>
      </c>
      <c r="R118" s="2">
        <v>3325</v>
      </c>
      <c r="S118" s="2">
        <v>3872</v>
      </c>
    </row>
    <row r="119" spans="1:19" x14ac:dyDescent="0.3">
      <c r="A119" s="2">
        <v>118</v>
      </c>
      <c r="B119" s="1" t="s">
        <v>530</v>
      </c>
      <c r="C119" t="s">
        <v>904</v>
      </c>
      <c r="D119">
        <v>2018</v>
      </c>
      <c r="E119" t="s">
        <v>923</v>
      </c>
      <c r="F119" t="s">
        <v>908</v>
      </c>
      <c r="G119" t="s">
        <v>913</v>
      </c>
      <c r="H119" t="s">
        <v>909</v>
      </c>
      <c r="I119" t="s">
        <v>918</v>
      </c>
      <c r="J119" s="2">
        <v>25.317499999999999</v>
      </c>
      <c r="K119" s="2">
        <v>28.946449999999999</v>
      </c>
      <c r="L119" s="2" t="str">
        <f t="shared" si="3"/>
        <v>25–30°C</v>
      </c>
      <c r="M119" s="3">
        <v>70.083299999999994</v>
      </c>
      <c r="N119" s="3" t="str">
        <f t="shared" si="4"/>
        <v>60–80%</v>
      </c>
      <c r="O119" s="2">
        <v>21.500836</v>
      </c>
      <c r="P119" s="2" t="str">
        <f t="shared" si="5"/>
        <v>20–25 km/h</v>
      </c>
      <c r="Q119" s="2">
        <v>569</v>
      </c>
      <c r="R119" s="2">
        <v>3489</v>
      </c>
      <c r="S119" s="2">
        <v>4058</v>
      </c>
    </row>
    <row r="120" spans="1:19" x14ac:dyDescent="0.3">
      <c r="A120" s="2">
        <v>119</v>
      </c>
      <c r="B120" s="1" t="s">
        <v>531</v>
      </c>
      <c r="C120" t="s">
        <v>904</v>
      </c>
      <c r="D120">
        <v>2018</v>
      </c>
      <c r="E120" t="s">
        <v>923</v>
      </c>
      <c r="F120" t="s">
        <v>908</v>
      </c>
      <c r="G120" t="s">
        <v>914</v>
      </c>
      <c r="H120" t="s">
        <v>909</v>
      </c>
      <c r="I120" t="s">
        <v>917</v>
      </c>
      <c r="J120" s="2">
        <v>20.91</v>
      </c>
      <c r="K120" s="2">
        <v>24.873149999999999</v>
      </c>
      <c r="L120" s="2" t="str">
        <f t="shared" si="3"/>
        <v>20–25°C</v>
      </c>
      <c r="M120" s="3">
        <v>45.708300000000001</v>
      </c>
      <c r="N120" s="3" t="str">
        <f t="shared" si="4"/>
        <v>40–60%</v>
      </c>
      <c r="O120" s="2">
        <v>16.084220999999999</v>
      </c>
      <c r="P120" s="2" t="str">
        <f t="shared" si="5"/>
        <v>15–20 km/h</v>
      </c>
      <c r="Q120" s="2">
        <v>878</v>
      </c>
      <c r="R120" s="2">
        <v>3717</v>
      </c>
      <c r="S120" s="2">
        <v>4595</v>
      </c>
    </row>
    <row r="121" spans="1:19" x14ac:dyDescent="0.3">
      <c r="A121" s="2">
        <v>120</v>
      </c>
      <c r="B121" s="1" t="s">
        <v>532</v>
      </c>
      <c r="C121" t="s">
        <v>904</v>
      </c>
      <c r="D121">
        <v>2018</v>
      </c>
      <c r="E121" t="s">
        <v>923</v>
      </c>
      <c r="F121" t="s">
        <v>908</v>
      </c>
      <c r="G121" t="s">
        <v>915</v>
      </c>
      <c r="H121" t="s">
        <v>908</v>
      </c>
      <c r="I121" t="s">
        <v>917</v>
      </c>
      <c r="J121" s="2">
        <v>19.372499999999999</v>
      </c>
      <c r="K121" s="2">
        <v>23.201049999999999</v>
      </c>
      <c r="L121" s="2" t="str">
        <f t="shared" si="3"/>
        <v>20–25°C</v>
      </c>
      <c r="M121" s="3">
        <v>50.333300000000001</v>
      </c>
      <c r="N121" s="3" t="str">
        <f t="shared" si="4"/>
        <v>40–60%</v>
      </c>
      <c r="O121" s="2">
        <v>15.750025000000001</v>
      </c>
      <c r="P121" s="2" t="str">
        <f t="shared" si="5"/>
        <v>15–20 km/h</v>
      </c>
      <c r="Q121" s="2">
        <v>1965</v>
      </c>
      <c r="R121" s="2">
        <v>3347</v>
      </c>
      <c r="S121" s="2">
        <v>5312</v>
      </c>
    </row>
    <row r="122" spans="1:19" x14ac:dyDescent="0.3">
      <c r="A122" s="2">
        <v>121</v>
      </c>
      <c r="B122" s="1">
        <v>43105</v>
      </c>
      <c r="C122" t="s">
        <v>904</v>
      </c>
      <c r="D122">
        <v>2018</v>
      </c>
      <c r="E122" t="s">
        <v>924</v>
      </c>
      <c r="F122" t="s">
        <v>908</v>
      </c>
      <c r="G122" t="s">
        <v>916</v>
      </c>
      <c r="H122" t="s">
        <v>908</v>
      </c>
      <c r="I122" t="s">
        <v>918</v>
      </c>
      <c r="J122" s="2">
        <v>18.518346999999999</v>
      </c>
      <c r="K122" s="2">
        <v>22.4102</v>
      </c>
      <c r="L122" s="2" t="str">
        <f t="shared" si="3"/>
        <v>20–25°C</v>
      </c>
      <c r="M122" s="3">
        <v>76.208299999999994</v>
      </c>
      <c r="N122" s="3" t="str">
        <f t="shared" si="4"/>
        <v>60–80%</v>
      </c>
      <c r="O122" s="2">
        <v>7.125718</v>
      </c>
      <c r="P122" s="2" t="str">
        <f t="shared" si="5"/>
        <v>5–10 km/h</v>
      </c>
      <c r="Q122" s="2">
        <v>1138</v>
      </c>
      <c r="R122" s="2">
        <v>2213</v>
      </c>
      <c r="S122" s="2">
        <v>3351</v>
      </c>
    </row>
    <row r="123" spans="1:19" x14ac:dyDescent="0.3">
      <c r="A123" s="2">
        <v>122</v>
      </c>
      <c r="B123" s="1">
        <v>43136</v>
      </c>
      <c r="C123" t="s">
        <v>904</v>
      </c>
      <c r="D123">
        <v>2018</v>
      </c>
      <c r="E123" t="s">
        <v>924</v>
      </c>
      <c r="F123" t="s">
        <v>908</v>
      </c>
      <c r="G123" t="s">
        <v>910</v>
      </c>
      <c r="H123" t="s">
        <v>909</v>
      </c>
      <c r="I123" t="s">
        <v>918</v>
      </c>
      <c r="J123" s="2">
        <v>22.515847000000001</v>
      </c>
      <c r="K123" s="2">
        <v>26.641649999999998</v>
      </c>
      <c r="L123" s="2" t="str">
        <f t="shared" si="3"/>
        <v>25–30°C</v>
      </c>
      <c r="M123" s="3">
        <v>73</v>
      </c>
      <c r="N123" s="3" t="str">
        <f t="shared" si="4"/>
        <v>60–80%</v>
      </c>
      <c r="O123" s="2">
        <v>12.291418</v>
      </c>
      <c r="P123" s="2" t="str">
        <f t="shared" si="5"/>
        <v>10–15 km/h</v>
      </c>
      <c r="Q123" s="2">
        <v>847</v>
      </c>
      <c r="R123" s="2">
        <v>3554</v>
      </c>
      <c r="S123" s="2">
        <v>4401</v>
      </c>
    </row>
    <row r="124" spans="1:19" x14ac:dyDescent="0.3">
      <c r="A124" s="2">
        <v>123</v>
      </c>
      <c r="B124" s="1">
        <v>43164</v>
      </c>
      <c r="C124" t="s">
        <v>904</v>
      </c>
      <c r="D124">
        <v>2018</v>
      </c>
      <c r="E124" t="s">
        <v>924</v>
      </c>
      <c r="F124" t="s">
        <v>908</v>
      </c>
      <c r="G124" t="s">
        <v>911</v>
      </c>
      <c r="H124" t="s">
        <v>909</v>
      </c>
      <c r="I124" t="s">
        <v>918</v>
      </c>
      <c r="J124" s="2">
        <v>25.283346999999999</v>
      </c>
      <c r="K124" s="2">
        <v>29.103950000000001</v>
      </c>
      <c r="L124" s="2" t="str">
        <f t="shared" si="3"/>
        <v>25–30°C</v>
      </c>
      <c r="M124" s="3">
        <v>69.708299999999994</v>
      </c>
      <c r="N124" s="3" t="str">
        <f t="shared" si="4"/>
        <v>60–80%</v>
      </c>
      <c r="O124" s="2">
        <v>22.958689</v>
      </c>
      <c r="P124" s="2" t="str">
        <f t="shared" si="5"/>
        <v>20–25 km/h</v>
      </c>
      <c r="Q124" s="2">
        <v>603</v>
      </c>
      <c r="R124" s="2">
        <v>3848</v>
      </c>
      <c r="S124" s="2">
        <v>4451</v>
      </c>
    </row>
    <row r="125" spans="1:19" x14ac:dyDescent="0.3">
      <c r="A125" s="2">
        <v>124</v>
      </c>
      <c r="B125" s="1">
        <v>43195</v>
      </c>
      <c r="C125" t="s">
        <v>904</v>
      </c>
      <c r="D125">
        <v>2018</v>
      </c>
      <c r="E125" t="s">
        <v>924</v>
      </c>
      <c r="F125" t="s">
        <v>908</v>
      </c>
      <c r="G125" t="s">
        <v>912</v>
      </c>
      <c r="H125" t="s">
        <v>909</v>
      </c>
      <c r="I125" t="s">
        <v>918</v>
      </c>
      <c r="J125" s="2">
        <v>16.980847000000001</v>
      </c>
      <c r="K125" s="2">
        <v>20.232500000000002</v>
      </c>
      <c r="L125" s="2" t="str">
        <f t="shared" si="3"/>
        <v>20–25°C</v>
      </c>
      <c r="M125" s="3">
        <v>73.708299999999994</v>
      </c>
      <c r="N125" s="3" t="str">
        <f t="shared" si="4"/>
        <v>60–80%</v>
      </c>
      <c r="O125" s="2">
        <v>22.042732000000001</v>
      </c>
      <c r="P125" s="2" t="str">
        <f t="shared" si="5"/>
        <v>20–25 km/h</v>
      </c>
      <c r="Q125" s="2">
        <v>255</v>
      </c>
      <c r="R125" s="2">
        <v>2378</v>
      </c>
      <c r="S125" s="2">
        <v>2633</v>
      </c>
    </row>
    <row r="126" spans="1:19" x14ac:dyDescent="0.3">
      <c r="A126" s="2">
        <v>125</v>
      </c>
      <c r="B126" s="1">
        <v>43225</v>
      </c>
      <c r="C126" t="s">
        <v>904</v>
      </c>
      <c r="D126">
        <v>2018</v>
      </c>
      <c r="E126" t="s">
        <v>924</v>
      </c>
      <c r="F126" t="s">
        <v>908</v>
      </c>
      <c r="G126" t="s">
        <v>913</v>
      </c>
      <c r="H126" t="s">
        <v>909</v>
      </c>
      <c r="I126" t="s">
        <v>917</v>
      </c>
      <c r="J126" s="2">
        <v>18.825847</v>
      </c>
      <c r="K126" s="2">
        <v>22.095849999999999</v>
      </c>
      <c r="L126" s="2" t="str">
        <f t="shared" si="3"/>
        <v>20–25°C</v>
      </c>
      <c r="M126" s="3">
        <v>44.416699999999999</v>
      </c>
      <c r="N126" s="3" t="str">
        <f t="shared" si="4"/>
        <v>40–60%</v>
      </c>
      <c r="O126" s="2">
        <v>19.791264000000002</v>
      </c>
      <c r="P126" s="2" t="str">
        <f t="shared" si="5"/>
        <v>15–20 km/h</v>
      </c>
      <c r="Q126" s="2">
        <v>614</v>
      </c>
      <c r="R126" s="2">
        <v>3819</v>
      </c>
      <c r="S126" s="2">
        <v>4433</v>
      </c>
    </row>
    <row r="127" spans="1:19" x14ac:dyDescent="0.3">
      <c r="A127" s="2">
        <v>126</v>
      </c>
      <c r="B127" s="1">
        <v>43256</v>
      </c>
      <c r="C127" t="s">
        <v>904</v>
      </c>
      <c r="D127">
        <v>2018</v>
      </c>
      <c r="E127" t="s">
        <v>924</v>
      </c>
      <c r="F127" t="s">
        <v>908</v>
      </c>
      <c r="G127" t="s">
        <v>914</v>
      </c>
      <c r="H127" t="s">
        <v>909</v>
      </c>
      <c r="I127" t="s">
        <v>917</v>
      </c>
      <c r="J127" s="2">
        <v>19.645847</v>
      </c>
      <c r="K127" s="2">
        <v>23.705850000000002</v>
      </c>
      <c r="L127" s="2" t="str">
        <f t="shared" si="3"/>
        <v>20–25°C</v>
      </c>
      <c r="M127" s="3">
        <v>59</v>
      </c>
      <c r="N127" s="3" t="str">
        <f t="shared" si="4"/>
        <v>40–60%</v>
      </c>
      <c r="O127" s="2">
        <v>15.292482</v>
      </c>
      <c r="P127" s="2" t="str">
        <f t="shared" si="5"/>
        <v>15–20 km/h</v>
      </c>
      <c r="Q127" s="2">
        <v>894</v>
      </c>
      <c r="R127" s="2">
        <v>3714</v>
      </c>
      <c r="S127" s="2">
        <v>4608</v>
      </c>
    </row>
    <row r="128" spans="1:19" x14ac:dyDescent="0.3">
      <c r="A128" s="2">
        <v>127</v>
      </c>
      <c r="B128" s="1">
        <v>43286</v>
      </c>
      <c r="C128" t="s">
        <v>904</v>
      </c>
      <c r="D128">
        <v>2018</v>
      </c>
      <c r="E128" t="s">
        <v>924</v>
      </c>
      <c r="F128" t="s">
        <v>908</v>
      </c>
      <c r="G128" t="s">
        <v>915</v>
      </c>
      <c r="H128" t="s">
        <v>908</v>
      </c>
      <c r="I128" t="s">
        <v>917</v>
      </c>
      <c r="J128" s="2">
        <v>21.32</v>
      </c>
      <c r="K128" s="2">
        <v>25.631049999999998</v>
      </c>
      <c r="L128" s="2" t="str">
        <f t="shared" si="3"/>
        <v>25–30°C</v>
      </c>
      <c r="M128" s="3">
        <v>54.125</v>
      </c>
      <c r="N128" s="3" t="str">
        <f t="shared" si="4"/>
        <v>40–60%</v>
      </c>
      <c r="O128" s="2">
        <v>10.75015</v>
      </c>
      <c r="P128" s="2" t="str">
        <f t="shared" si="5"/>
        <v>10–15 km/h</v>
      </c>
      <c r="Q128" s="2">
        <v>1612</v>
      </c>
      <c r="R128" s="2">
        <v>3102</v>
      </c>
      <c r="S128" s="2">
        <v>4714</v>
      </c>
    </row>
    <row r="129" spans="1:19" x14ac:dyDescent="0.3">
      <c r="A129" s="2">
        <v>128</v>
      </c>
      <c r="B129" s="1">
        <v>43317</v>
      </c>
      <c r="C129" t="s">
        <v>904</v>
      </c>
      <c r="D129">
        <v>2018</v>
      </c>
      <c r="E129" t="s">
        <v>924</v>
      </c>
      <c r="F129" t="s">
        <v>908</v>
      </c>
      <c r="G129" t="s">
        <v>916</v>
      </c>
      <c r="H129" t="s">
        <v>908</v>
      </c>
      <c r="I129" t="s">
        <v>917</v>
      </c>
      <c r="J129" s="2">
        <v>21.661653000000001</v>
      </c>
      <c r="K129" s="2">
        <v>25.946650000000002</v>
      </c>
      <c r="L129" s="2" t="str">
        <f t="shared" si="3"/>
        <v>25–30°C</v>
      </c>
      <c r="M129" s="3">
        <v>63.166699999999999</v>
      </c>
      <c r="N129" s="3" t="str">
        <f t="shared" si="4"/>
        <v>60–80%</v>
      </c>
      <c r="O129" s="2">
        <v>5.0007124999999997</v>
      </c>
      <c r="P129" s="2" t="str">
        <f t="shared" si="5"/>
        <v>5–10 km/h</v>
      </c>
      <c r="Q129" s="2">
        <v>1401</v>
      </c>
      <c r="R129" s="2">
        <v>2932</v>
      </c>
      <c r="S129" s="2">
        <v>4333</v>
      </c>
    </row>
    <row r="130" spans="1:19" x14ac:dyDescent="0.3">
      <c r="A130" s="2">
        <v>129</v>
      </c>
      <c r="B130" s="1">
        <v>43348</v>
      </c>
      <c r="C130" t="s">
        <v>904</v>
      </c>
      <c r="D130">
        <v>2018</v>
      </c>
      <c r="E130" t="s">
        <v>924</v>
      </c>
      <c r="F130" t="s">
        <v>908</v>
      </c>
      <c r="G130" t="s">
        <v>910</v>
      </c>
      <c r="H130" t="s">
        <v>909</v>
      </c>
      <c r="I130" t="s">
        <v>917</v>
      </c>
      <c r="J130" s="2">
        <v>21.8325</v>
      </c>
      <c r="K130" s="2">
        <v>26.2623</v>
      </c>
      <c r="L130" s="2" t="str">
        <f t="shared" ref="L130:L193" si="6">FLOOR(K130,5)&amp;"–"&amp;FLOOR(K130,5)+5&amp;"°C"</f>
        <v>25–30°C</v>
      </c>
      <c r="M130" s="3">
        <v>58.875</v>
      </c>
      <c r="N130" s="3" t="str">
        <f t="shared" ref="N130:N193" si="7">FLOOR(M130,20)&amp;"–"&amp;FLOOR(M130,20)+20&amp;"%"</f>
        <v>40–60%</v>
      </c>
      <c r="O130" s="2">
        <v>11.792</v>
      </c>
      <c r="P130" s="2" t="str">
        <f t="shared" ref="P130:P193" si="8">FLOOR(O130,5)&amp;"–"&amp;FLOOR(O130,5)+5&amp;" km/h"</f>
        <v>10–15 km/h</v>
      </c>
      <c r="Q130" s="2">
        <v>664</v>
      </c>
      <c r="R130" s="2">
        <v>3698</v>
      </c>
      <c r="S130" s="2">
        <v>4362</v>
      </c>
    </row>
    <row r="131" spans="1:19" x14ac:dyDescent="0.3">
      <c r="A131" s="2">
        <v>130</v>
      </c>
      <c r="B131" s="1">
        <v>43378</v>
      </c>
      <c r="C131" t="s">
        <v>904</v>
      </c>
      <c r="D131">
        <v>2018</v>
      </c>
      <c r="E131" t="s">
        <v>924</v>
      </c>
      <c r="F131" t="s">
        <v>908</v>
      </c>
      <c r="G131" t="s">
        <v>911</v>
      </c>
      <c r="H131" t="s">
        <v>909</v>
      </c>
      <c r="I131" t="s">
        <v>917</v>
      </c>
      <c r="J131" s="2">
        <v>21.8325</v>
      </c>
      <c r="K131" s="2">
        <v>26.136050000000001</v>
      </c>
      <c r="L131" s="2" t="str">
        <f t="shared" si="6"/>
        <v>25–30°C</v>
      </c>
      <c r="M131" s="3">
        <v>48.916699999999999</v>
      </c>
      <c r="N131" s="3" t="str">
        <f t="shared" si="7"/>
        <v>40–60%</v>
      </c>
      <c r="O131" s="2">
        <v>7.7499570000000002</v>
      </c>
      <c r="P131" s="2" t="str">
        <f t="shared" si="8"/>
        <v>5–10 km/h</v>
      </c>
      <c r="Q131" s="2">
        <v>694</v>
      </c>
      <c r="R131" s="2">
        <v>4109</v>
      </c>
      <c r="S131" s="2">
        <v>4803</v>
      </c>
    </row>
    <row r="132" spans="1:19" x14ac:dyDescent="0.3">
      <c r="A132" s="2">
        <v>131</v>
      </c>
      <c r="B132" s="1">
        <v>43409</v>
      </c>
      <c r="C132" t="s">
        <v>904</v>
      </c>
      <c r="D132">
        <v>2018</v>
      </c>
      <c r="E132" t="s">
        <v>924</v>
      </c>
      <c r="F132" t="s">
        <v>908</v>
      </c>
      <c r="G132" t="s">
        <v>912</v>
      </c>
      <c r="H132" t="s">
        <v>909</v>
      </c>
      <c r="I132" t="s">
        <v>917</v>
      </c>
      <c r="J132" s="2">
        <v>22.2425</v>
      </c>
      <c r="K132" s="2">
        <v>26.42</v>
      </c>
      <c r="L132" s="2" t="str">
        <f t="shared" si="6"/>
        <v>25–30°C</v>
      </c>
      <c r="M132" s="3">
        <v>63.291699999999999</v>
      </c>
      <c r="N132" s="3" t="str">
        <f t="shared" si="7"/>
        <v>60–80%</v>
      </c>
      <c r="O132" s="2">
        <v>8.0830140000000004</v>
      </c>
      <c r="P132" s="2" t="str">
        <f t="shared" si="8"/>
        <v>5–10 km/h</v>
      </c>
      <c r="Q132" s="2">
        <v>550</v>
      </c>
      <c r="R132" s="2">
        <v>3632</v>
      </c>
      <c r="S132" s="2">
        <v>4182</v>
      </c>
    </row>
    <row r="133" spans="1:19" x14ac:dyDescent="0.3">
      <c r="A133" s="2">
        <v>132</v>
      </c>
      <c r="B133" s="1">
        <v>43439</v>
      </c>
      <c r="C133" t="s">
        <v>904</v>
      </c>
      <c r="D133">
        <v>2018</v>
      </c>
      <c r="E133" t="s">
        <v>924</v>
      </c>
      <c r="F133" t="s">
        <v>908</v>
      </c>
      <c r="G133" t="s">
        <v>913</v>
      </c>
      <c r="H133" t="s">
        <v>909</v>
      </c>
      <c r="I133" t="s">
        <v>917</v>
      </c>
      <c r="J133" s="2">
        <v>21.934999999999999</v>
      </c>
      <c r="K133" s="2">
        <v>26.168150000000001</v>
      </c>
      <c r="L133" s="2" t="str">
        <f t="shared" si="6"/>
        <v>25–30°C</v>
      </c>
      <c r="M133" s="3">
        <v>74.75</v>
      </c>
      <c r="N133" s="3" t="str">
        <f t="shared" si="7"/>
        <v>60–80%</v>
      </c>
      <c r="O133" s="2">
        <v>12.707689</v>
      </c>
      <c r="P133" s="2" t="str">
        <f t="shared" si="8"/>
        <v>10–15 km/h</v>
      </c>
      <c r="Q133" s="2">
        <v>695</v>
      </c>
      <c r="R133" s="2">
        <v>4169</v>
      </c>
      <c r="S133" s="2">
        <v>4864</v>
      </c>
    </row>
    <row r="134" spans="1:19" x14ac:dyDescent="0.3">
      <c r="A134" s="2">
        <v>133</v>
      </c>
      <c r="B134" s="1" t="s">
        <v>533</v>
      </c>
      <c r="C134" t="s">
        <v>904</v>
      </c>
      <c r="D134">
        <v>2018</v>
      </c>
      <c r="E134" t="s">
        <v>924</v>
      </c>
      <c r="F134" t="s">
        <v>908</v>
      </c>
      <c r="G134" t="s">
        <v>914</v>
      </c>
      <c r="H134" t="s">
        <v>909</v>
      </c>
      <c r="I134" t="s">
        <v>918</v>
      </c>
      <c r="J134" s="2">
        <v>21.012499999999999</v>
      </c>
      <c r="K134" s="2">
        <v>24.715</v>
      </c>
      <c r="L134" s="2" t="str">
        <f t="shared" si="6"/>
        <v>20–25°C</v>
      </c>
      <c r="M134" s="3">
        <v>86.333299999999994</v>
      </c>
      <c r="N134" s="3" t="str">
        <f t="shared" si="7"/>
        <v>80–100%</v>
      </c>
      <c r="O134" s="2">
        <v>12.041575</v>
      </c>
      <c r="P134" s="2" t="str">
        <f t="shared" si="8"/>
        <v>10–15 km/h</v>
      </c>
      <c r="Q134" s="2">
        <v>692</v>
      </c>
      <c r="R134" s="2">
        <v>3413</v>
      </c>
      <c r="S134" s="2">
        <v>4105</v>
      </c>
    </row>
    <row r="135" spans="1:19" x14ac:dyDescent="0.3">
      <c r="A135" s="2">
        <v>134</v>
      </c>
      <c r="B135" s="1" t="s">
        <v>534</v>
      </c>
      <c r="C135" t="s">
        <v>904</v>
      </c>
      <c r="D135">
        <v>2018</v>
      </c>
      <c r="E135" t="s">
        <v>924</v>
      </c>
      <c r="F135" t="s">
        <v>908</v>
      </c>
      <c r="G135" t="s">
        <v>915</v>
      </c>
      <c r="H135" t="s">
        <v>908</v>
      </c>
      <c r="I135" t="s">
        <v>918</v>
      </c>
      <c r="J135" s="2">
        <v>21.354153</v>
      </c>
      <c r="K135" s="2">
        <v>25.03145</v>
      </c>
      <c r="L135" s="2" t="str">
        <f t="shared" si="6"/>
        <v>25–30°C</v>
      </c>
      <c r="M135" s="3">
        <v>92.25</v>
      </c>
      <c r="N135" s="3" t="str">
        <f t="shared" si="7"/>
        <v>80–100%</v>
      </c>
      <c r="O135" s="2">
        <v>9.0416500000000006</v>
      </c>
      <c r="P135" s="2" t="str">
        <f t="shared" si="8"/>
        <v>5–10 km/h</v>
      </c>
      <c r="Q135" s="2">
        <v>902</v>
      </c>
      <c r="R135" s="2">
        <v>2507</v>
      </c>
      <c r="S135" s="2">
        <v>3409</v>
      </c>
    </row>
    <row r="136" spans="1:19" x14ac:dyDescent="0.3">
      <c r="A136" s="2">
        <v>135</v>
      </c>
      <c r="B136" s="1" t="s">
        <v>535</v>
      </c>
      <c r="C136" t="s">
        <v>904</v>
      </c>
      <c r="D136">
        <v>2018</v>
      </c>
      <c r="E136" t="s">
        <v>924</v>
      </c>
      <c r="F136" t="s">
        <v>908</v>
      </c>
      <c r="G136" t="s">
        <v>916</v>
      </c>
      <c r="H136" t="s">
        <v>908</v>
      </c>
      <c r="I136" t="s">
        <v>918</v>
      </c>
      <c r="J136" s="2">
        <v>23.0625</v>
      </c>
      <c r="K136" s="2">
        <v>26.8</v>
      </c>
      <c r="L136" s="2" t="str">
        <f t="shared" si="6"/>
        <v>25–30°C</v>
      </c>
      <c r="M136" s="3">
        <v>86.708299999999994</v>
      </c>
      <c r="N136" s="3" t="str">
        <f t="shared" si="7"/>
        <v>80–100%</v>
      </c>
      <c r="O136" s="2">
        <v>10.249593000000001</v>
      </c>
      <c r="P136" s="2" t="str">
        <f t="shared" si="8"/>
        <v>10–15 km/h</v>
      </c>
      <c r="Q136" s="2">
        <v>1582</v>
      </c>
      <c r="R136" s="2">
        <v>2971</v>
      </c>
      <c r="S136" s="2">
        <v>4553</v>
      </c>
    </row>
    <row r="137" spans="1:19" x14ac:dyDescent="0.3">
      <c r="A137" s="2">
        <v>136</v>
      </c>
      <c r="B137" s="1" t="s">
        <v>536</v>
      </c>
      <c r="C137" t="s">
        <v>904</v>
      </c>
      <c r="D137">
        <v>2018</v>
      </c>
      <c r="E137" t="s">
        <v>924</v>
      </c>
      <c r="F137" t="s">
        <v>908</v>
      </c>
      <c r="G137" t="s">
        <v>910</v>
      </c>
      <c r="H137" t="s">
        <v>909</v>
      </c>
      <c r="I137" t="s">
        <v>917</v>
      </c>
      <c r="J137" s="2">
        <v>23.677499999999998</v>
      </c>
      <c r="K137" s="2">
        <v>27.525600000000001</v>
      </c>
      <c r="L137" s="2" t="str">
        <f t="shared" si="6"/>
        <v>25–30°C</v>
      </c>
      <c r="M137" s="3">
        <v>78.791700000000006</v>
      </c>
      <c r="N137" s="3" t="str">
        <f t="shared" si="7"/>
        <v>60–80%</v>
      </c>
      <c r="O137" s="2">
        <v>8.5003569999999993</v>
      </c>
      <c r="P137" s="2" t="str">
        <f t="shared" si="8"/>
        <v>5–10 km/h</v>
      </c>
      <c r="Q137" s="2">
        <v>773</v>
      </c>
      <c r="R137" s="2">
        <v>3185</v>
      </c>
      <c r="S137" s="2">
        <v>3958</v>
      </c>
    </row>
    <row r="138" spans="1:19" x14ac:dyDescent="0.3">
      <c r="A138" s="2">
        <v>137</v>
      </c>
      <c r="B138" s="1" t="s">
        <v>537</v>
      </c>
      <c r="C138" t="s">
        <v>904</v>
      </c>
      <c r="D138">
        <v>2018</v>
      </c>
      <c r="E138" t="s">
        <v>924</v>
      </c>
      <c r="F138" t="s">
        <v>908</v>
      </c>
      <c r="G138" t="s">
        <v>911</v>
      </c>
      <c r="H138" t="s">
        <v>909</v>
      </c>
      <c r="I138" t="s">
        <v>918</v>
      </c>
      <c r="J138" s="2">
        <v>23.028347</v>
      </c>
      <c r="K138" s="2">
        <v>26.926449999999999</v>
      </c>
      <c r="L138" s="2" t="str">
        <f t="shared" si="6"/>
        <v>25–30°C</v>
      </c>
      <c r="M138" s="3">
        <v>83.791700000000006</v>
      </c>
      <c r="N138" s="3" t="str">
        <f t="shared" si="7"/>
        <v>80–100%</v>
      </c>
      <c r="O138" s="2">
        <v>18.582718</v>
      </c>
      <c r="P138" s="2" t="str">
        <f t="shared" si="8"/>
        <v>15–20 km/h</v>
      </c>
      <c r="Q138" s="2">
        <v>678</v>
      </c>
      <c r="R138" s="2">
        <v>3445</v>
      </c>
      <c r="S138" s="2">
        <v>4123</v>
      </c>
    </row>
    <row r="139" spans="1:19" x14ac:dyDescent="0.3">
      <c r="A139" s="2">
        <v>138</v>
      </c>
      <c r="B139" s="1" t="s">
        <v>538</v>
      </c>
      <c r="C139" t="s">
        <v>904</v>
      </c>
      <c r="D139">
        <v>2018</v>
      </c>
      <c r="E139" t="s">
        <v>924</v>
      </c>
      <c r="F139" t="s">
        <v>908</v>
      </c>
      <c r="G139" t="s">
        <v>912</v>
      </c>
      <c r="H139" t="s">
        <v>909</v>
      </c>
      <c r="I139" t="s">
        <v>918</v>
      </c>
      <c r="J139" s="2">
        <v>22.55</v>
      </c>
      <c r="K139" s="2">
        <v>26.357900000000001</v>
      </c>
      <c r="L139" s="2" t="str">
        <f t="shared" si="6"/>
        <v>25–30°C</v>
      </c>
      <c r="M139" s="3">
        <v>87</v>
      </c>
      <c r="N139" s="3" t="str">
        <f t="shared" si="7"/>
        <v>80–100%</v>
      </c>
      <c r="O139" s="2">
        <v>13.499964</v>
      </c>
      <c r="P139" s="2" t="str">
        <f t="shared" si="8"/>
        <v>10–15 km/h</v>
      </c>
      <c r="Q139" s="2">
        <v>536</v>
      </c>
      <c r="R139" s="2">
        <v>3319</v>
      </c>
      <c r="S139" s="2">
        <v>3855</v>
      </c>
    </row>
    <row r="140" spans="1:19" x14ac:dyDescent="0.3">
      <c r="A140" s="2">
        <v>139</v>
      </c>
      <c r="B140" s="1" t="s">
        <v>539</v>
      </c>
      <c r="C140" t="s">
        <v>904</v>
      </c>
      <c r="D140">
        <v>2018</v>
      </c>
      <c r="E140" t="s">
        <v>924</v>
      </c>
      <c r="F140" t="s">
        <v>908</v>
      </c>
      <c r="G140" t="s">
        <v>913</v>
      </c>
      <c r="H140" t="s">
        <v>909</v>
      </c>
      <c r="I140" t="s">
        <v>918</v>
      </c>
      <c r="J140" s="2">
        <v>21.764153</v>
      </c>
      <c r="K140" s="2">
        <v>25.537099999999999</v>
      </c>
      <c r="L140" s="2" t="str">
        <f t="shared" si="6"/>
        <v>25–30°C</v>
      </c>
      <c r="M140" s="3">
        <v>82.958299999999994</v>
      </c>
      <c r="N140" s="3" t="str">
        <f t="shared" si="7"/>
        <v>80–100%</v>
      </c>
      <c r="O140" s="2">
        <v>7.2502709999999997</v>
      </c>
      <c r="P140" s="2" t="str">
        <f t="shared" si="8"/>
        <v>5–10 km/h</v>
      </c>
      <c r="Q140" s="2">
        <v>735</v>
      </c>
      <c r="R140" s="2">
        <v>3840</v>
      </c>
      <c r="S140" s="2">
        <v>4575</v>
      </c>
    </row>
    <row r="141" spans="1:19" x14ac:dyDescent="0.3">
      <c r="A141" s="2">
        <v>140</v>
      </c>
      <c r="B141" s="1" t="s">
        <v>540</v>
      </c>
      <c r="C141" t="s">
        <v>904</v>
      </c>
      <c r="D141">
        <v>2018</v>
      </c>
      <c r="E141" t="s">
        <v>924</v>
      </c>
      <c r="F141" t="s">
        <v>908</v>
      </c>
      <c r="G141" t="s">
        <v>914</v>
      </c>
      <c r="H141" t="s">
        <v>909</v>
      </c>
      <c r="I141" t="s">
        <v>917</v>
      </c>
      <c r="J141" s="2">
        <v>22.003347000000002</v>
      </c>
      <c r="K141" s="2">
        <v>26.452100000000002</v>
      </c>
      <c r="L141" s="2" t="str">
        <f t="shared" si="6"/>
        <v>25–30°C</v>
      </c>
      <c r="M141" s="3">
        <v>71.958299999999994</v>
      </c>
      <c r="N141" s="3" t="str">
        <f t="shared" si="7"/>
        <v>60–80%</v>
      </c>
      <c r="O141" s="2">
        <v>8.3758710000000001</v>
      </c>
      <c r="P141" s="2" t="str">
        <f t="shared" si="8"/>
        <v>5–10 km/h</v>
      </c>
      <c r="Q141" s="2">
        <v>909</v>
      </c>
      <c r="R141" s="2">
        <v>4008</v>
      </c>
      <c r="S141" s="2">
        <v>4917</v>
      </c>
    </row>
    <row r="142" spans="1:19" x14ac:dyDescent="0.3">
      <c r="A142" s="2">
        <v>141</v>
      </c>
      <c r="B142" s="1" t="s">
        <v>541</v>
      </c>
      <c r="C142" t="s">
        <v>904</v>
      </c>
      <c r="D142">
        <v>2018</v>
      </c>
      <c r="E142" t="s">
        <v>924</v>
      </c>
      <c r="F142" t="s">
        <v>908</v>
      </c>
      <c r="G142" t="s">
        <v>915</v>
      </c>
      <c r="H142" t="s">
        <v>908</v>
      </c>
      <c r="I142" t="s">
        <v>917</v>
      </c>
      <c r="J142" s="2">
        <v>24.702500000000001</v>
      </c>
      <c r="K142" s="2">
        <v>28.598749999999999</v>
      </c>
      <c r="L142" s="2" t="str">
        <f t="shared" si="6"/>
        <v>25–30°C</v>
      </c>
      <c r="M142" s="3">
        <v>62.666699999999999</v>
      </c>
      <c r="N142" s="3" t="str">
        <f t="shared" si="7"/>
        <v>60–80%</v>
      </c>
      <c r="O142" s="2">
        <v>8.0835500000000007</v>
      </c>
      <c r="P142" s="2" t="str">
        <f t="shared" si="8"/>
        <v>5–10 km/h</v>
      </c>
      <c r="Q142" s="2">
        <v>2258</v>
      </c>
      <c r="R142" s="2">
        <v>3547</v>
      </c>
      <c r="S142" s="2">
        <v>5805</v>
      </c>
    </row>
    <row r="143" spans="1:19" x14ac:dyDescent="0.3">
      <c r="A143" s="2">
        <v>142</v>
      </c>
      <c r="B143" s="1" t="s">
        <v>542</v>
      </c>
      <c r="C143" t="s">
        <v>904</v>
      </c>
      <c r="D143">
        <v>2018</v>
      </c>
      <c r="E143" t="s">
        <v>924</v>
      </c>
      <c r="F143" t="s">
        <v>908</v>
      </c>
      <c r="G143" t="s">
        <v>916</v>
      </c>
      <c r="H143" t="s">
        <v>908</v>
      </c>
      <c r="I143" t="s">
        <v>917</v>
      </c>
      <c r="J143" s="2">
        <v>24.770847</v>
      </c>
      <c r="K143" s="2">
        <v>28.725000000000001</v>
      </c>
      <c r="L143" s="2" t="str">
        <f t="shared" si="6"/>
        <v>25–30°C</v>
      </c>
      <c r="M143" s="3">
        <v>74.958299999999994</v>
      </c>
      <c r="N143" s="3" t="str">
        <f t="shared" si="7"/>
        <v>60–80%</v>
      </c>
      <c r="O143" s="2">
        <v>9.9165360000000007</v>
      </c>
      <c r="P143" s="2" t="str">
        <f t="shared" si="8"/>
        <v>5–10 km/h</v>
      </c>
      <c r="Q143" s="2">
        <v>1576</v>
      </c>
      <c r="R143" s="2">
        <v>3084</v>
      </c>
      <c r="S143" s="2">
        <v>4660</v>
      </c>
    </row>
    <row r="144" spans="1:19" x14ac:dyDescent="0.3">
      <c r="A144" s="2">
        <v>143</v>
      </c>
      <c r="B144" s="1" t="s">
        <v>543</v>
      </c>
      <c r="C144" t="s">
        <v>904</v>
      </c>
      <c r="D144">
        <v>2018</v>
      </c>
      <c r="E144" t="s">
        <v>924</v>
      </c>
      <c r="F144" t="s">
        <v>908</v>
      </c>
      <c r="G144" t="s">
        <v>910</v>
      </c>
      <c r="H144" t="s">
        <v>909</v>
      </c>
      <c r="I144" t="s">
        <v>918</v>
      </c>
      <c r="J144" s="2">
        <v>25.898347000000001</v>
      </c>
      <c r="K144" s="2">
        <v>29.514800000000001</v>
      </c>
      <c r="L144" s="2" t="str">
        <f t="shared" si="6"/>
        <v>25–30°C</v>
      </c>
      <c r="M144" s="3">
        <v>81</v>
      </c>
      <c r="N144" s="3" t="str">
        <f t="shared" si="7"/>
        <v>80–100%</v>
      </c>
      <c r="O144" s="2">
        <v>15.667414000000001</v>
      </c>
      <c r="P144" s="2" t="str">
        <f t="shared" si="8"/>
        <v>15–20 km/h</v>
      </c>
      <c r="Q144" s="2">
        <v>836</v>
      </c>
      <c r="R144" s="2">
        <v>3438</v>
      </c>
      <c r="S144" s="2">
        <v>4274</v>
      </c>
    </row>
    <row r="145" spans="1:19" x14ac:dyDescent="0.3">
      <c r="A145" s="2">
        <v>144</v>
      </c>
      <c r="B145" s="1" t="s">
        <v>544</v>
      </c>
      <c r="C145" t="s">
        <v>904</v>
      </c>
      <c r="D145">
        <v>2018</v>
      </c>
      <c r="E145" t="s">
        <v>924</v>
      </c>
      <c r="F145" t="s">
        <v>908</v>
      </c>
      <c r="G145" t="s">
        <v>911</v>
      </c>
      <c r="H145" t="s">
        <v>909</v>
      </c>
      <c r="I145" t="s">
        <v>918</v>
      </c>
      <c r="J145" s="2">
        <v>27.06</v>
      </c>
      <c r="K145" s="2">
        <v>30.240649999999999</v>
      </c>
      <c r="L145" s="2" t="str">
        <f t="shared" si="6"/>
        <v>30–35°C</v>
      </c>
      <c r="M145" s="3">
        <v>74.083299999999994</v>
      </c>
      <c r="N145" s="3" t="str">
        <f t="shared" si="7"/>
        <v>60–80%</v>
      </c>
      <c r="O145" s="2">
        <v>13.875164</v>
      </c>
      <c r="P145" s="2" t="str">
        <f t="shared" si="8"/>
        <v>10–15 km/h</v>
      </c>
      <c r="Q145" s="2">
        <v>659</v>
      </c>
      <c r="R145" s="2">
        <v>3833</v>
      </c>
      <c r="S145" s="2">
        <v>4492</v>
      </c>
    </row>
    <row r="146" spans="1:19" x14ac:dyDescent="0.3">
      <c r="A146" s="2">
        <v>145</v>
      </c>
      <c r="B146" s="1" t="s">
        <v>545</v>
      </c>
      <c r="C146" t="s">
        <v>904</v>
      </c>
      <c r="D146">
        <v>2018</v>
      </c>
      <c r="E146" t="s">
        <v>924</v>
      </c>
      <c r="F146" t="s">
        <v>908</v>
      </c>
      <c r="G146" t="s">
        <v>912</v>
      </c>
      <c r="H146" t="s">
        <v>909</v>
      </c>
      <c r="I146" t="s">
        <v>917</v>
      </c>
      <c r="J146" s="2">
        <v>27.094152999999999</v>
      </c>
      <c r="K146" s="2">
        <v>30.777100000000001</v>
      </c>
      <c r="L146" s="2" t="str">
        <f t="shared" si="6"/>
        <v>30–35°C</v>
      </c>
      <c r="M146" s="3">
        <v>69.625</v>
      </c>
      <c r="N146" s="3" t="str">
        <f t="shared" si="7"/>
        <v>60–80%</v>
      </c>
      <c r="O146" s="2">
        <v>10.333610999999999</v>
      </c>
      <c r="P146" s="2" t="str">
        <f t="shared" si="8"/>
        <v>10–15 km/h</v>
      </c>
      <c r="Q146" s="2">
        <v>740</v>
      </c>
      <c r="R146" s="2">
        <v>4238</v>
      </c>
      <c r="S146" s="2">
        <v>4978</v>
      </c>
    </row>
    <row r="147" spans="1:19" x14ac:dyDescent="0.3">
      <c r="A147" s="2">
        <v>146</v>
      </c>
      <c r="B147" s="1" t="s">
        <v>546</v>
      </c>
      <c r="C147" t="s">
        <v>904</v>
      </c>
      <c r="D147">
        <v>2018</v>
      </c>
      <c r="E147" t="s">
        <v>924</v>
      </c>
      <c r="F147" t="s">
        <v>908</v>
      </c>
      <c r="G147" t="s">
        <v>913</v>
      </c>
      <c r="H147" t="s">
        <v>909</v>
      </c>
      <c r="I147" t="s">
        <v>917</v>
      </c>
      <c r="J147" s="2">
        <v>29.041653</v>
      </c>
      <c r="K147" s="2">
        <v>32.734400000000001</v>
      </c>
      <c r="L147" s="2" t="str">
        <f t="shared" si="6"/>
        <v>30–35°C</v>
      </c>
      <c r="M147" s="3">
        <v>67.75</v>
      </c>
      <c r="N147" s="3" t="str">
        <f t="shared" si="7"/>
        <v>60–80%</v>
      </c>
      <c r="O147" s="2">
        <v>13.376014</v>
      </c>
      <c r="P147" s="2" t="str">
        <f t="shared" si="8"/>
        <v>10–15 km/h</v>
      </c>
      <c r="Q147" s="2">
        <v>758</v>
      </c>
      <c r="R147" s="2">
        <v>3919</v>
      </c>
      <c r="S147" s="2">
        <v>4677</v>
      </c>
    </row>
    <row r="148" spans="1:19" x14ac:dyDescent="0.3">
      <c r="A148" s="2">
        <v>147</v>
      </c>
      <c r="B148" s="1" t="s">
        <v>547</v>
      </c>
      <c r="C148" t="s">
        <v>904</v>
      </c>
      <c r="D148">
        <v>2018</v>
      </c>
      <c r="E148" t="s">
        <v>924</v>
      </c>
      <c r="F148" t="s">
        <v>908</v>
      </c>
      <c r="G148" t="s">
        <v>914</v>
      </c>
      <c r="H148" t="s">
        <v>909</v>
      </c>
      <c r="I148" t="s">
        <v>917</v>
      </c>
      <c r="J148" s="2">
        <v>27.948346999999998</v>
      </c>
      <c r="K148" s="2">
        <v>31.8504</v>
      </c>
      <c r="L148" s="2" t="str">
        <f t="shared" si="6"/>
        <v>30–35°C</v>
      </c>
      <c r="M148" s="3">
        <v>65.375</v>
      </c>
      <c r="N148" s="3" t="str">
        <f t="shared" si="7"/>
        <v>60–80%</v>
      </c>
      <c r="O148" s="2">
        <v>16.125492999999999</v>
      </c>
      <c r="P148" s="2" t="str">
        <f t="shared" si="8"/>
        <v>15–20 km/h</v>
      </c>
      <c r="Q148" s="2">
        <v>871</v>
      </c>
      <c r="R148" s="2">
        <v>3808</v>
      </c>
      <c r="S148" s="2">
        <v>4679</v>
      </c>
    </row>
    <row r="149" spans="1:19" x14ac:dyDescent="0.3">
      <c r="A149" s="2">
        <v>148</v>
      </c>
      <c r="B149" s="1" t="s">
        <v>548</v>
      </c>
      <c r="C149" t="s">
        <v>904</v>
      </c>
      <c r="D149">
        <v>2018</v>
      </c>
      <c r="E149" t="s">
        <v>924</v>
      </c>
      <c r="F149" t="s">
        <v>908</v>
      </c>
      <c r="G149" t="s">
        <v>915</v>
      </c>
      <c r="H149" t="s">
        <v>908</v>
      </c>
      <c r="I149" t="s">
        <v>917</v>
      </c>
      <c r="J149" s="2">
        <v>26.889153</v>
      </c>
      <c r="K149" s="2">
        <v>30.618950000000002</v>
      </c>
      <c r="L149" s="2" t="str">
        <f t="shared" si="6"/>
        <v>30–35°C</v>
      </c>
      <c r="M149" s="3">
        <v>72.958299999999994</v>
      </c>
      <c r="N149" s="3" t="str">
        <f t="shared" si="7"/>
        <v>60–80%</v>
      </c>
      <c r="O149" s="2">
        <v>15.416164</v>
      </c>
      <c r="P149" s="2" t="str">
        <f t="shared" si="8"/>
        <v>15–20 km/h</v>
      </c>
      <c r="Q149" s="2">
        <v>2001</v>
      </c>
      <c r="R149" s="2">
        <v>2757</v>
      </c>
      <c r="S149" s="2">
        <v>4758</v>
      </c>
    </row>
    <row r="150" spans="1:19" x14ac:dyDescent="0.3">
      <c r="A150" s="2">
        <v>149</v>
      </c>
      <c r="B150" s="1" t="s">
        <v>549</v>
      </c>
      <c r="C150" t="s">
        <v>904</v>
      </c>
      <c r="D150">
        <v>2018</v>
      </c>
      <c r="E150" t="s">
        <v>924</v>
      </c>
      <c r="F150" t="s">
        <v>908</v>
      </c>
      <c r="G150" t="s">
        <v>916</v>
      </c>
      <c r="H150" t="s">
        <v>908</v>
      </c>
      <c r="I150" t="s">
        <v>917</v>
      </c>
      <c r="J150" s="2">
        <v>27.3675</v>
      </c>
      <c r="K150" s="2">
        <v>30.7775</v>
      </c>
      <c r="L150" s="2" t="str">
        <f t="shared" si="6"/>
        <v>30–35°C</v>
      </c>
      <c r="M150" s="3">
        <v>81.875</v>
      </c>
      <c r="N150" s="3" t="str">
        <f t="shared" si="7"/>
        <v>80–100%</v>
      </c>
      <c r="O150" s="2">
        <v>14.333845999999999</v>
      </c>
      <c r="P150" s="2" t="str">
        <f t="shared" si="8"/>
        <v>10–15 km/h</v>
      </c>
      <c r="Q150" s="2">
        <v>2355</v>
      </c>
      <c r="R150" s="2">
        <v>2433</v>
      </c>
      <c r="S150" s="2">
        <v>4788</v>
      </c>
    </row>
    <row r="151" spans="1:19" x14ac:dyDescent="0.3">
      <c r="A151" s="2">
        <v>150</v>
      </c>
      <c r="B151" s="1" t="s">
        <v>550</v>
      </c>
      <c r="C151" t="s">
        <v>904</v>
      </c>
      <c r="D151">
        <v>2018</v>
      </c>
      <c r="E151" t="s">
        <v>924</v>
      </c>
      <c r="F151" t="s">
        <v>909</v>
      </c>
      <c r="G151" t="s">
        <v>910</v>
      </c>
      <c r="H151" t="s">
        <v>908</v>
      </c>
      <c r="I151" t="s">
        <v>917</v>
      </c>
      <c r="J151" s="2">
        <v>30.066652999999999</v>
      </c>
      <c r="K151" s="2">
        <v>33.554600000000001</v>
      </c>
      <c r="L151" s="2" t="str">
        <f t="shared" si="6"/>
        <v>30–35°C</v>
      </c>
      <c r="M151" s="3">
        <v>68.5</v>
      </c>
      <c r="N151" s="3" t="str">
        <f t="shared" si="7"/>
        <v>60–80%</v>
      </c>
      <c r="O151" s="2">
        <v>8.7920750000000005</v>
      </c>
      <c r="P151" s="2" t="str">
        <f t="shared" si="8"/>
        <v>5–10 km/h</v>
      </c>
      <c r="Q151" s="2">
        <v>1549</v>
      </c>
      <c r="R151" s="2">
        <v>2549</v>
      </c>
      <c r="S151" s="2">
        <v>4098</v>
      </c>
    </row>
    <row r="152" spans="1:19" x14ac:dyDescent="0.3">
      <c r="A152" s="2">
        <v>151</v>
      </c>
      <c r="B152" s="1" t="s">
        <v>551</v>
      </c>
      <c r="C152" t="s">
        <v>904</v>
      </c>
      <c r="D152">
        <v>2018</v>
      </c>
      <c r="E152" t="s">
        <v>924</v>
      </c>
      <c r="F152" t="s">
        <v>908</v>
      </c>
      <c r="G152" t="s">
        <v>911</v>
      </c>
      <c r="H152" t="s">
        <v>909</v>
      </c>
      <c r="I152" t="s">
        <v>917</v>
      </c>
      <c r="J152" s="2">
        <v>31.774999999999999</v>
      </c>
      <c r="K152" s="2">
        <v>36.269150000000003</v>
      </c>
      <c r="L152" s="2" t="str">
        <f t="shared" si="6"/>
        <v>35–40°C</v>
      </c>
      <c r="M152" s="3">
        <v>63.666699999999999</v>
      </c>
      <c r="N152" s="3" t="str">
        <f t="shared" si="7"/>
        <v>60–80%</v>
      </c>
      <c r="O152" s="2">
        <v>7.4590430000000003</v>
      </c>
      <c r="P152" s="2" t="str">
        <f t="shared" si="8"/>
        <v>5–10 km/h</v>
      </c>
      <c r="Q152" s="2">
        <v>673</v>
      </c>
      <c r="R152" s="2">
        <v>3309</v>
      </c>
      <c r="S152" s="2">
        <v>3982</v>
      </c>
    </row>
    <row r="153" spans="1:19" x14ac:dyDescent="0.3">
      <c r="A153" s="2">
        <v>152</v>
      </c>
      <c r="B153" s="1">
        <v>43106</v>
      </c>
      <c r="C153" t="s">
        <v>904</v>
      </c>
      <c r="D153">
        <v>2018</v>
      </c>
      <c r="E153" t="s">
        <v>925</v>
      </c>
      <c r="F153" t="s">
        <v>908</v>
      </c>
      <c r="G153" t="s">
        <v>912</v>
      </c>
      <c r="H153" t="s">
        <v>909</v>
      </c>
      <c r="I153" t="s">
        <v>918</v>
      </c>
      <c r="J153" s="2">
        <v>31.330846999999999</v>
      </c>
      <c r="K153" s="2">
        <v>36.048349999999999</v>
      </c>
      <c r="L153" s="2" t="str">
        <f t="shared" si="6"/>
        <v>35–40°C</v>
      </c>
      <c r="M153" s="3">
        <v>67.708299999999994</v>
      </c>
      <c r="N153" s="3" t="str">
        <f t="shared" si="7"/>
        <v>60–80%</v>
      </c>
      <c r="O153" s="2">
        <v>13.875164</v>
      </c>
      <c r="P153" s="2" t="str">
        <f t="shared" si="8"/>
        <v>10–15 km/h</v>
      </c>
      <c r="Q153" s="2">
        <v>513</v>
      </c>
      <c r="R153" s="2">
        <v>3461</v>
      </c>
      <c r="S153" s="2">
        <v>3974</v>
      </c>
    </row>
    <row r="154" spans="1:19" x14ac:dyDescent="0.3">
      <c r="A154" s="2">
        <v>153</v>
      </c>
      <c r="B154" s="1">
        <v>43137</v>
      </c>
      <c r="C154" t="s">
        <v>904</v>
      </c>
      <c r="D154">
        <v>2018</v>
      </c>
      <c r="E154" t="s">
        <v>925</v>
      </c>
      <c r="F154" t="s">
        <v>908</v>
      </c>
      <c r="G154" t="s">
        <v>913</v>
      </c>
      <c r="H154" t="s">
        <v>909</v>
      </c>
      <c r="I154" t="s">
        <v>917</v>
      </c>
      <c r="J154" s="2">
        <v>29.315000000000001</v>
      </c>
      <c r="K154" s="2">
        <v>32.197099999999999</v>
      </c>
      <c r="L154" s="2" t="str">
        <f t="shared" si="6"/>
        <v>30–35°C</v>
      </c>
      <c r="M154" s="3">
        <v>30.5</v>
      </c>
      <c r="N154" s="3" t="str">
        <f t="shared" si="7"/>
        <v>20–40%</v>
      </c>
      <c r="O154" s="2">
        <v>19.583228999999999</v>
      </c>
      <c r="P154" s="2" t="str">
        <f t="shared" si="8"/>
        <v>15–20 km/h</v>
      </c>
      <c r="Q154" s="2">
        <v>736</v>
      </c>
      <c r="R154" s="2">
        <v>4232</v>
      </c>
      <c r="S154" s="2">
        <v>4968</v>
      </c>
    </row>
    <row r="155" spans="1:19" x14ac:dyDescent="0.3">
      <c r="A155" s="2">
        <v>154</v>
      </c>
      <c r="B155" s="1">
        <v>43165</v>
      </c>
      <c r="C155" t="s">
        <v>904</v>
      </c>
      <c r="D155">
        <v>2018</v>
      </c>
      <c r="E155" t="s">
        <v>925</v>
      </c>
      <c r="F155" t="s">
        <v>908</v>
      </c>
      <c r="G155" t="s">
        <v>914</v>
      </c>
      <c r="H155" t="s">
        <v>909</v>
      </c>
      <c r="I155" t="s">
        <v>917</v>
      </c>
      <c r="J155" s="2">
        <v>25.42</v>
      </c>
      <c r="K155" s="2">
        <v>29.356649999999998</v>
      </c>
      <c r="L155" s="2" t="str">
        <f t="shared" si="6"/>
        <v>25–30°C</v>
      </c>
      <c r="M155" s="3">
        <v>35.416699999999999</v>
      </c>
      <c r="N155" s="3" t="str">
        <f t="shared" si="7"/>
        <v>20–40%</v>
      </c>
      <c r="O155" s="2">
        <v>16.959106999999999</v>
      </c>
      <c r="P155" s="2" t="str">
        <f t="shared" si="8"/>
        <v>15–20 km/h</v>
      </c>
      <c r="Q155" s="2">
        <v>898</v>
      </c>
      <c r="R155" s="2">
        <v>4414</v>
      </c>
      <c r="S155" s="2">
        <v>5312</v>
      </c>
    </row>
    <row r="156" spans="1:19" x14ac:dyDescent="0.3">
      <c r="A156" s="2">
        <v>155</v>
      </c>
      <c r="B156" s="1">
        <v>43196</v>
      </c>
      <c r="C156" t="s">
        <v>904</v>
      </c>
      <c r="D156">
        <v>2018</v>
      </c>
      <c r="E156" t="s">
        <v>925</v>
      </c>
      <c r="F156" t="s">
        <v>908</v>
      </c>
      <c r="G156" t="s">
        <v>915</v>
      </c>
      <c r="H156" t="s">
        <v>908</v>
      </c>
      <c r="I156" t="s">
        <v>917</v>
      </c>
      <c r="J156" s="2">
        <v>26.035</v>
      </c>
      <c r="K156" s="2">
        <v>29.7348</v>
      </c>
      <c r="L156" s="2" t="str">
        <f t="shared" si="6"/>
        <v>25–30°C</v>
      </c>
      <c r="M156" s="3">
        <v>45.625</v>
      </c>
      <c r="N156" s="3" t="str">
        <f t="shared" si="7"/>
        <v>40–60%</v>
      </c>
      <c r="O156" s="2">
        <v>8.2505140000000008</v>
      </c>
      <c r="P156" s="2" t="str">
        <f t="shared" si="8"/>
        <v>5–10 km/h</v>
      </c>
      <c r="Q156" s="2">
        <v>1869</v>
      </c>
      <c r="R156" s="2">
        <v>3473</v>
      </c>
      <c r="S156" s="2">
        <v>5342</v>
      </c>
    </row>
    <row r="157" spans="1:19" x14ac:dyDescent="0.3">
      <c r="A157" s="2">
        <v>156</v>
      </c>
      <c r="B157" s="1">
        <v>43226</v>
      </c>
      <c r="C157" t="s">
        <v>904</v>
      </c>
      <c r="D157">
        <v>2018</v>
      </c>
      <c r="E157" t="s">
        <v>925</v>
      </c>
      <c r="F157" t="s">
        <v>908</v>
      </c>
      <c r="G157" t="s">
        <v>916</v>
      </c>
      <c r="H157" t="s">
        <v>908</v>
      </c>
      <c r="I157" t="s">
        <v>918</v>
      </c>
      <c r="J157" s="2">
        <v>26.581652999999999</v>
      </c>
      <c r="K157" s="2">
        <v>30.840199999999999</v>
      </c>
      <c r="L157" s="2" t="str">
        <f t="shared" si="6"/>
        <v>30–35°C</v>
      </c>
      <c r="M157" s="3">
        <v>65.25</v>
      </c>
      <c r="N157" s="3" t="str">
        <f t="shared" si="7"/>
        <v>60–80%</v>
      </c>
      <c r="O157" s="2">
        <v>9.2923639999999992</v>
      </c>
      <c r="P157" s="2" t="str">
        <f t="shared" si="8"/>
        <v>5–10 km/h</v>
      </c>
      <c r="Q157" s="2">
        <v>1685</v>
      </c>
      <c r="R157" s="2">
        <v>3221</v>
      </c>
      <c r="S157" s="2">
        <v>4906</v>
      </c>
    </row>
    <row r="158" spans="1:19" x14ac:dyDescent="0.3">
      <c r="A158" s="2">
        <v>157</v>
      </c>
      <c r="B158" s="1">
        <v>43257</v>
      </c>
      <c r="C158" t="s">
        <v>904</v>
      </c>
      <c r="D158">
        <v>2018</v>
      </c>
      <c r="E158" t="s">
        <v>925</v>
      </c>
      <c r="F158" t="s">
        <v>908</v>
      </c>
      <c r="G158" t="s">
        <v>910</v>
      </c>
      <c r="H158" t="s">
        <v>909</v>
      </c>
      <c r="I158" t="s">
        <v>917</v>
      </c>
      <c r="J158" s="2">
        <v>27.811653</v>
      </c>
      <c r="K158" s="2">
        <v>31.0929</v>
      </c>
      <c r="L158" s="2" t="str">
        <f t="shared" si="6"/>
        <v>30–35°C</v>
      </c>
      <c r="M158" s="3">
        <v>60</v>
      </c>
      <c r="N158" s="3" t="str">
        <f t="shared" si="7"/>
        <v>60–80%</v>
      </c>
      <c r="O158" s="2">
        <v>8.1670320000000007</v>
      </c>
      <c r="P158" s="2" t="str">
        <f t="shared" si="8"/>
        <v>5–10 km/h</v>
      </c>
      <c r="Q158" s="2">
        <v>673</v>
      </c>
      <c r="R158" s="2">
        <v>3875</v>
      </c>
      <c r="S158" s="2">
        <v>4548</v>
      </c>
    </row>
    <row r="159" spans="1:19" x14ac:dyDescent="0.3">
      <c r="A159" s="2">
        <v>158</v>
      </c>
      <c r="B159" s="1">
        <v>43287</v>
      </c>
      <c r="C159" t="s">
        <v>904</v>
      </c>
      <c r="D159">
        <v>2018</v>
      </c>
      <c r="E159" t="s">
        <v>925</v>
      </c>
      <c r="F159" t="s">
        <v>908</v>
      </c>
      <c r="G159" t="s">
        <v>911</v>
      </c>
      <c r="H159" t="s">
        <v>909</v>
      </c>
      <c r="I159" t="s">
        <v>917</v>
      </c>
      <c r="J159" s="2">
        <v>29.0075</v>
      </c>
      <c r="K159" s="2">
        <v>32.797499999999999</v>
      </c>
      <c r="L159" s="2" t="str">
        <f t="shared" si="6"/>
        <v>30–35°C</v>
      </c>
      <c r="M159" s="3">
        <v>59.791699999999999</v>
      </c>
      <c r="N159" s="3" t="str">
        <f t="shared" si="7"/>
        <v>40–60%</v>
      </c>
      <c r="O159" s="2">
        <v>12.583136</v>
      </c>
      <c r="P159" s="2" t="str">
        <f t="shared" si="8"/>
        <v>10–15 km/h</v>
      </c>
      <c r="Q159" s="2">
        <v>763</v>
      </c>
      <c r="R159" s="2">
        <v>4070</v>
      </c>
      <c r="S159" s="2">
        <v>4833</v>
      </c>
    </row>
    <row r="160" spans="1:19" x14ac:dyDescent="0.3">
      <c r="A160" s="2">
        <v>159</v>
      </c>
      <c r="B160" s="1">
        <v>43318</v>
      </c>
      <c r="C160" t="s">
        <v>904</v>
      </c>
      <c r="D160">
        <v>2018</v>
      </c>
      <c r="E160" t="s">
        <v>925</v>
      </c>
      <c r="F160" t="s">
        <v>908</v>
      </c>
      <c r="G160" t="s">
        <v>912</v>
      </c>
      <c r="H160" t="s">
        <v>909</v>
      </c>
      <c r="I160" t="s">
        <v>917</v>
      </c>
      <c r="J160" s="2">
        <v>31.809152999999998</v>
      </c>
      <c r="K160" s="2">
        <v>36.363950000000003</v>
      </c>
      <c r="L160" s="2" t="str">
        <f t="shared" si="6"/>
        <v>35–40°C</v>
      </c>
      <c r="M160" s="3">
        <v>62.208300000000001</v>
      </c>
      <c r="N160" s="3" t="str">
        <f t="shared" si="7"/>
        <v>60–80%</v>
      </c>
      <c r="O160" s="2">
        <v>9.1667389999999997</v>
      </c>
      <c r="P160" s="2" t="str">
        <f t="shared" si="8"/>
        <v>5–10 km/h</v>
      </c>
      <c r="Q160" s="2">
        <v>676</v>
      </c>
      <c r="R160" s="2">
        <v>3725</v>
      </c>
      <c r="S160" s="2">
        <v>4401</v>
      </c>
    </row>
    <row r="161" spans="1:19" x14ac:dyDescent="0.3">
      <c r="A161" s="2">
        <v>160</v>
      </c>
      <c r="B161" s="1">
        <v>43349</v>
      </c>
      <c r="C161" t="s">
        <v>904</v>
      </c>
      <c r="D161">
        <v>2018</v>
      </c>
      <c r="E161" t="s">
        <v>925</v>
      </c>
      <c r="F161" t="s">
        <v>908</v>
      </c>
      <c r="G161" t="s">
        <v>913</v>
      </c>
      <c r="H161" t="s">
        <v>909</v>
      </c>
      <c r="I161" t="s">
        <v>918</v>
      </c>
      <c r="J161" s="2">
        <v>33.141652999999998</v>
      </c>
      <c r="K161" s="2">
        <v>37.878950000000003</v>
      </c>
      <c r="L161" s="2" t="str">
        <f t="shared" si="6"/>
        <v>35–40°C</v>
      </c>
      <c r="M161" s="3">
        <v>56.833300000000001</v>
      </c>
      <c r="N161" s="3" t="str">
        <f t="shared" si="7"/>
        <v>40–60%</v>
      </c>
      <c r="O161" s="2">
        <v>10.042161</v>
      </c>
      <c r="P161" s="2" t="str">
        <f t="shared" si="8"/>
        <v>10–15 km/h</v>
      </c>
      <c r="Q161" s="2">
        <v>563</v>
      </c>
      <c r="R161" s="2">
        <v>3352</v>
      </c>
      <c r="S161" s="2">
        <v>3915</v>
      </c>
    </row>
    <row r="162" spans="1:19" x14ac:dyDescent="0.3">
      <c r="A162" s="2">
        <v>161</v>
      </c>
      <c r="B162" s="1">
        <v>43379</v>
      </c>
      <c r="C162" t="s">
        <v>904</v>
      </c>
      <c r="D162">
        <v>2018</v>
      </c>
      <c r="E162" t="s">
        <v>925</v>
      </c>
      <c r="F162" t="s">
        <v>908</v>
      </c>
      <c r="G162" t="s">
        <v>914</v>
      </c>
      <c r="H162" t="s">
        <v>909</v>
      </c>
      <c r="I162" t="s">
        <v>917</v>
      </c>
      <c r="J162" s="2">
        <v>30.954999999999998</v>
      </c>
      <c r="K162" s="2">
        <v>35.1646</v>
      </c>
      <c r="L162" s="2" t="str">
        <f t="shared" si="6"/>
        <v>35–40°C</v>
      </c>
      <c r="M162" s="3">
        <v>60.5</v>
      </c>
      <c r="N162" s="3" t="str">
        <f t="shared" si="7"/>
        <v>60–80%</v>
      </c>
      <c r="O162" s="2">
        <v>9.4171180000000003</v>
      </c>
      <c r="P162" s="2" t="str">
        <f t="shared" si="8"/>
        <v>5–10 km/h</v>
      </c>
      <c r="Q162" s="2">
        <v>815</v>
      </c>
      <c r="R162" s="2">
        <v>3771</v>
      </c>
      <c r="S162" s="2">
        <v>4586</v>
      </c>
    </row>
    <row r="163" spans="1:19" x14ac:dyDescent="0.3">
      <c r="A163" s="2">
        <v>162</v>
      </c>
      <c r="B163" s="1">
        <v>43410</v>
      </c>
      <c r="C163" t="s">
        <v>904</v>
      </c>
      <c r="D163">
        <v>2018</v>
      </c>
      <c r="E163" t="s">
        <v>925</v>
      </c>
      <c r="F163" t="s">
        <v>908</v>
      </c>
      <c r="G163" t="s">
        <v>915</v>
      </c>
      <c r="H163" t="s">
        <v>908</v>
      </c>
      <c r="I163" t="s">
        <v>917</v>
      </c>
      <c r="J163" s="2">
        <v>29.725000000000001</v>
      </c>
      <c r="K163" s="2">
        <v>33.901899999999998</v>
      </c>
      <c r="L163" s="2" t="str">
        <f t="shared" si="6"/>
        <v>30–35°C</v>
      </c>
      <c r="M163" s="3">
        <v>65.458299999999994</v>
      </c>
      <c r="N163" s="3" t="str">
        <f t="shared" si="7"/>
        <v>60–80%</v>
      </c>
      <c r="O163" s="2">
        <v>10.37495</v>
      </c>
      <c r="P163" s="2" t="str">
        <f t="shared" si="8"/>
        <v>10–15 km/h</v>
      </c>
      <c r="Q163" s="2">
        <v>1729</v>
      </c>
      <c r="R163" s="2">
        <v>3237</v>
      </c>
      <c r="S163" s="2">
        <v>4966</v>
      </c>
    </row>
    <row r="164" spans="1:19" x14ac:dyDescent="0.3">
      <c r="A164" s="2">
        <v>163</v>
      </c>
      <c r="B164" s="1">
        <v>43440</v>
      </c>
      <c r="C164" t="s">
        <v>904</v>
      </c>
      <c r="D164">
        <v>2018</v>
      </c>
      <c r="E164" t="s">
        <v>925</v>
      </c>
      <c r="F164" t="s">
        <v>908</v>
      </c>
      <c r="G164" t="s">
        <v>916</v>
      </c>
      <c r="H164" t="s">
        <v>908</v>
      </c>
      <c r="I164" t="s">
        <v>917</v>
      </c>
      <c r="J164" s="2">
        <v>28.392499999999998</v>
      </c>
      <c r="K164" s="2">
        <v>32.166249999999998</v>
      </c>
      <c r="L164" s="2" t="str">
        <f t="shared" si="6"/>
        <v>30–35°C</v>
      </c>
      <c r="M164" s="3">
        <v>74.791700000000006</v>
      </c>
      <c r="N164" s="3" t="str">
        <f t="shared" si="7"/>
        <v>60–80%</v>
      </c>
      <c r="O164" s="2">
        <v>10.958989000000001</v>
      </c>
      <c r="P164" s="2" t="str">
        <f t="shared" si="8"/>
        <v>10–15 km/h</v>
      </c>
      <c r="Q164" s="2">
        <v>1467</v>
      </c>
      <c r="R164" s="2">
        <v>2993</v>
      </c>
      <c r="S164" s="2">
        <v>4460</v>
      </c>
    </row>
    <row r="165" spans="1:19" x14ac:dyDescent="0.3">
      <c r="A165" s="2">
        <v>164</v>
      </c>
      <c r="B165" s="1" t="s">
        <v>552</v>
      </c>
      <c r="C165" t="s">
        <v>904</v>
      </c>
      <c r="D165">
        <v>2018</v>
      </c>
      <c r="E165" t="s">
        <v>925</v>
      </c>
      <c r="F165" t="s">
        <v>908</v>
      </c>
      <c r="G165" t="s">
        <v>910</v>
      </c>
      <c r="H165" t="s">
        <v>909</v>
      </c>
      <c r="I165" t="s">
        <v>917</v>
      </c>
      <c r="J165" s="2">
        <v>26.035</v>
      </c>
      <c r="K165" s="2">
        <v>30.082699999999999</v>
      </c>
      <c r="L165" s="2" t="str">
        <f t="shared" si="6"/>
        <v>30–35°C</v>
      </c>
      <c r="M165" s="3">
        <v>49.458300000000001</v>
      </c>
      <c r="N165" s="3" t="str">
        <f t="shared" si="7"/>
        <v>40–60%</v>
      </c>
      <c r="O165" s="2">
        <v>20.458449999999999</v>
      </c>
      <c r="P165" s="2" t="str">
        <f t="shared" si="8"/>
        <v>20–25 km/h</v>
      </c>
      <c r="Q165" s="2">
        <v>863</v>
      </c>
      <c r="R165" s="2">
        <v>4157</v>
      </c>
      <c r="S165" s="2">
        <v>5020</v>
      </c>
    </row>
    <row r="166" spans="1:19" x14ac:dyDescent="0.3">
      <c r="A166" s="2">
        <v>165</v>
      </c>
      <c r="B166" s="1" t="s">
        <v>553</v>
      </c>
      <c r="C166" t="s">
        <v>904</v>
      </c>
      <c r="D166">
        <v>2018</v>
      </c>
      <c r="E166" t="s">
        <v>925</v>
      </c>
      <c r="F166" t="s">
        <v>908</v>
      </c>
      <c r="G166" t="s">
        <v>911</v>
      </c>
      <c r="H166" t="s">
        <v>909</v>
      </c>
      <c r="I166" t="s">
        <v>917</v>
      </c>
      <c r="J166" s="2">
        <v>24.770847</v>
      </c>
      <c r="K166" s="2">
        <v>29.577300000000001</v>
      </c>
      <c r="L166" s="2" t="str">
        <f t="shared" si="6"/>
        <v>25–30°C</v>
      </c>
      <c r="M166" s="3">
        <v>50.708300000000001</v>
      </c>
      <c r="N166" s="3" t="str">
        <f t="shared" si="7"/>
        <v>40–60%</v>
      </c>
      <c r="O166" s="2">
        <v>18.041961000000001</v>
      </c>
      <c r="P166" s="2" t="str">
        <f t="shared" si="8"/>
        <v>15–20 km/h</v>
      </c>
      <c r="Q166" s="2">
        <v>727</v>
      </c>
      <c r="R166" s="2">
        <v>4164</v>
      </c>
      <c r="S166" s="2">
        <v>4891</v>
      </c>
    </row>
    <row r="167" spans="1:19" x14ac:dyDescent="0.3">
      <c r="A167" s="2">
        <v>166</v>
      </c>
      <c r="B167" s="1" t="s">
        <v>554</v>
      </c>
      <c r="C167" t="s">
        <v>904</v>
      </c>
      <c r="D167">
        <v>2018</v>
      </c>
      <c r="E167" t="s">
        <v>925</v>
      </c>
      <c r="F167" t="s">
        <v>908</v>
      </c>
      <c r="G167" t="s">
        <v>912</v>
      </c>
      <c r="H167" t="s">
        <v>909</v>
      </c>
      <c r="I167" t="s">
        <v>917</v>
      </c>
      <c r="J167" s="2">
        <v>25.693346999999999</v>
      </c>
      <c r="K167" s="2">
        <v>29.387699999999999</v>
      </c>
      <c r="L167" s="2" t="str">
        <f t="shared" si="6"/>
        <v>25–30°C</v>
      </c>
      <c r="M167" s="3">
        <v>47.166699999999999</v>
      </c>
      <c r="N167" s="3" t="str">
        <f t="shared" si="7"/>
        <v>40–60%</v>
      </c>
      <c r="O167" s="2">
        <v>11.250104</v>
      </c>
      <c r="P167" s="2" t="str">
        <f t="shared" si="8"/>
        <v>10–15 km/h</v>
      </c>
      <c r="Q167" s="2">
        <v>769</v>
      </c>
      <c r="R167" s="2">
        <v>4411</v>
      </c>
      <c r="S167" s="2">
        <v>5180</v>
      </c>
    </row>
    <row r="168" spans="1:19" x14ac:dyDescent="0.3">
      <c r="A168" s="2">
        <v>167</v>
      </c>
      <c r="B168" s="1" t="s">
        <v>555</v>
      </c>
      <c r="C168" t="s">
        <v>904</v>
      </c>
      <c r="D168">
        <v>2018</v>
      </c>
      <c r="E168" t="s">
        <v>925</v>
      </c>
      <c r="F168" t="s">
        <v>908</v>
      </c>
      <c r="G168" t="s">
        <v>913</v>
      </c>
      <c r="H168" t="s">
        <v>909</v>
      </c>
      <c r="I168" t="s">
        <v>918</v>
      </c>
      <c r="J168" s="2">
        <v>25.761652999999999</v>
      </c>
      <c r="K168" s="2">
        <v>29.767299999999999</v>
      </c>
      <c r="L168" s="2" t="str">
        <f t="shared" si="6"/>
        <v>25–30°C</v>
      </c>
      <c r="M168" s="3">
        <v>68.833299999999994</v>
      </c>
      <c r="N168" s="3" t="str">
        <f t="shared" si="7"/>
        <v>60–80%</v>
      </c>
      <c r="O168" s="2">
        <v>13.833557000000001</v>
      </c>
      <c r="P168" s="2" t="str">
        <f t="shared" si="8"/>
        <v>10–15 km/h</v>
      </c>
      <c r="Q168" s="2">
        <v>545</v>
      </c>
      <c r="R168" s="2">
        <v>3222</v>
      </c>
      <c r="S168" s="2">
        <v>3767</v>
      </c>
    </row>
    <row r="169" spans="1:19" x14ac:dyDescent="0.3">
      <c r="A169" s="2">
        <v>168</v>
      </c>
      <c r="B169" s="1" t="s">
        <v>556</v>
      </c>
      <c r="C169" t="s">
        <v>904</v>
      </c>
      <c r="D169">
        <v>2018</v>
      </c>
      <c r="E169" t="s">
        <v>925</v>
      </c>
      <c r="F169" t="s">
        <v>908</v>
      </c>
      <c r="G169" t="s">
        <v>914</v>
      </c>
      <c r="H169" t="s">
        <v>909</v>
      </c>
      <c r="I169" t="s">
        <v>917</v>
      </c>
      <c r="J169" s="2">
        <v>26.615846999999999</v>
      </c>
      <c r="K169" s="2">
        <v>30.01915</v>
      </c>
      <c r="L169" s="2" t="str">
        <f t="shared" si="6"/>
        <v>30–35°C</v>
      </c>
      <c r="M169" s="3">
        <v>73.583299999999994</v>
      </c>
      <c r="N169" s="3" t="str">
        <f t="shared" si="7"/>
        <v>60–80%</v>
      </c>
      <c r="O169" s="2">
        <v>9.5829430000000002</v>
      </c>
      <c r="P169" s="2" t="str">
        <f t="shared" si="8"/>
        <v>5–10 km/h</v>
      </c>
      <c r="Q169" s="2">
        <v>863</v>
      </c>
      <c r="R169" s="2">
        <v>3981</v>
      </c>
      <c r="S169" s="2">
        <v>4844</v>
      </c>
    </row>
    <row r="170" spans="1:19" x14ac:dyDescent="0.3">
      <c r="A170" s="2">
        <v>169</v>
      </c>
      <c r="B170" s="1" t="s">
        <v>557</v>
      </c>
      <c r="C170" t="s">
        <v>904</v>
      </c>
      <c r="D170">
        <v>2018</v>
      </c>
      <c r="E170" t="s">
        <v>925</v>
      </c>
      <c r="F170" t="s">
        <v>908</v>
      </c>
      <c r="G170" t="s">
        <v>915</v>
      </c>
      <c r="H170" t="s">
        <v>908</v>
      </c>
      <c r="I170" t="s">
        <v>917</v>
      </c>
      <c r="J170" s="2">
        <v>28.563347</v>
      </c>
      <c r="K170" s="2">
        <v>32.197699999999998</v>
      </c>
      <c r="L170" s="2" t="str">
        <f t="shared" si="6"/>
        <v>30–35°C</v>
      </c>
      <c r="M170" s="3">
        <v>67.041700000000006</v>
      </c>
      <c r="N170" s="3" t="str">
        <f t="shared" si="7"/>
        <v>60–80%</v>
      </c>
      <c r="O170" s="2">
        <v>8.0003360000000008</v>
      </c>
      <c r="P170" s="2" t="str">
        <f t="shared" si="8"/>
        <v>5–10 km/h</v>
      </c>
      <c r="Q170" s="2">
        <v>1807</v>
      </c>
      <c r="R170" s="2">
        <v>3312</v>
      </c>
      <c r="S170" s="2">
        <v>5119</v>
      </c>
    </row>
    <row r="171" spans="1:19" x14ac:dyDescent="0.3">
      <c r="A171" s="2">
        <v>170</v>
      </c>
      <c r="B171" s="1" t="s">
        <v>558</v>
      </c>
      <c r="C171" t="s">
        <v>904</v>
      </c>
      <c r="D171">
        <v>2018</v>
      </c>
      <c r="E171" t="s">
        <v>925</v>
      </c>
      <c r="F171" t="s">
        <v>908</v>
      </c>
      <c r="G171" t="s">
        <v>916</v>
      </c>
      <c r="H171" t="s">
        <v>908</v>
      </c>
      <c r="I171" t="s">
        <v>918</v>
      </c>
      <c r="J171" s="2">
        <v>28.665846999999999</v>
      </c>
      <c r="K171" s="2">
        <v>32.292299999999997</v>
      </c>
      <c r="L171" s="2" t="str">
        <f t="shared" si="6"/>
        <v>30–35°C</v>
      </c>
      <c r="M171" s="3">
        <v>66.666700000000006</v>
      </c>
      <c r="N171" s="3" t="str">
        <f t="shared" si="7"/>
        <v>60–80%</v>
      </c>
      <c r="O171" s="2">
        <v>6.8339999999999996</v>
      </c>
      <c r="P171" s="2" t="str">
        <f t="shared" si="8"/>
        <v>5–10 km/h</v>
      </c>
      <c r="Q171" s="2">
        <v>1639</v>
      </c>
      <c r="R171" s="2">
        <v>3105</v>
      </c>
      <c r="S171" s="2">
        <v>4744</v>
      </c>
    </row>
    <row r="172" spans="1:19" x14ac:dyDescent="0.3">
      <c r="A172" s="2">
        <v>171</v>
      </c>
      <c r="B172" s="1" t="s">
        <v>559</v>
      </c>
      <c r="C172" t="s">
        <v>904</v>
      </c>
      <c r="D172">
        <v>2018</v>
      </c>
      <c r="E172" t="s">
        <v>925</v>
      </c>
      <c r="F172" t="s">
        <v>908</v>
      </c>
      <c r="G172" t="s">
        <v>910</v>
      </c>
      <c r="H172" t="s">
        <v>909</v>
      </c>
      <c r="I172" t="s">
        <v>918</v>
      </c>
      <c r="J172" s="2">
        <v>26.035</v>
      </c>
      <c r="K172" s="2">
        <v>29.767299999999999</v>
      </c>
      <c r="L172" s="2" t="str">
        <f t="shared" si="6"/>
        <v>25–30°C</v>
      </c>
      <c r="M172" s="3">
        <v>74.625</v>
      </c>
      <c r="N172" s="3" t="str">
        <f t="shared" si="7"/>
        <v>60–80%</v>
      </c>
      <c r="O172" s="2">
        <v>10.416824999999999</v>
      </c>
      <c r="P172" s="2" t="str">
        <f t="shared" si="8"/>
        <v>10–15 km/h</v>
      </c>
      <c r="Q172" s="2">
        <v>699</v>
      </c>
      <c r="R172" s="2">
        <v>3311</v>
      </c>
      <c r="S172" s="2">
        <v>4010</v>
      </c>
    </row>
    <row r="173" spans="1:19" x14ac:dyDescent="0.3">
      <c r="A173" s="2">
        <v>172</v>
      </c>
      <c r="B173" s="1" t="s">
        <v>560</v>
      </c>
      <c r="C173" t="s">
        <v>905</v>
      </c>
      <c r="D173">
        <v>2018</v>
      </c>
      <c r="E173" t="s">
        <v>925</v>
      </c>
      <c r="F173" t="s">
        <v>908</v>
      </c>
      <c r="G173" t="s">
        <v>911</v>
      </c>
      <c r="H173" t="s">
        <v>909</v>
      </c>
      <c r="I173" t="s">
        <v>918</v>
      </c>
      <c r="J173" s="2">
        <v>27.914152999999999</v>
      </c>
      <c r="K173" s="2">
        <v>31.882300000000001</v>
      </c>
      <c r="L173" s="2" t="str">
        <f t="shared" si="6"/>
        <v>30–35°C</v>
      </c>
      <c r="M173" s="3">
        <v>77.041700000000006</v>
      </c>
      <c r="N173" s="3" t="str">
        <f t="shared" si="7"/>
        <v>60–80%</v>
      </c>
      <c r="O173" s="2">
        <v>11.458674999999999</v>
      </c>
      <c r="P173" s="2" t="str">
        <f t="shared" si="8"/>
        <v>10–15 km/h</v>
      </c>
      <c r="Q173" s="2">
        <v>774</v>
      </c>
      <c r="R173" s="2">
        <v>4061</v>
      </c>
      <c r="S173" s="2">
        <v>4835</v>
      </c>
    </row>
    <row r="174" spans="1:19" x14ac:dyDescent="0.3">
      <c r="A174" s="2">
        <v>173</v>
      </c>
      <c r="B174" s="1" t="s">
        <v>561</v>
      </c>
      <c r="C174" t="s">
        <v>905</v>
      </c>
      <c r="D174">
        <v>2018</v>
      </c>
      <c r="E174" t="s">
        <v>925</v>
      </c>
      <c r="F174" t="s">
        <v>908</v>
      </c>
      <c r="G174" t="s">
        <v>912</v>
      </c>
      <c r="H174" t="s">
        <v>909</v>
      </c>
      <c r="I174" t="s">
        <v>917</v>
      </c>
      <c r="J174" s="2">
        <v>30.066652999999999</v>
      </c>
      <c r="K174" s="2">
        <v>34.691450000000003</v>
      </c>
      <c r="L174" s="2" t="str">
        <f t="shared" si="6"/>
        <v>30–35°C</v>
      </c>
      <c r="M174" s="3">
        <v>70.75</v>
      </c>
      <c r="N174" s="3" t="str">
        <f t="shared" si="7"/>
        <v>60–80%</v>
      </c>
      <c r="O174" s="2">
        <v>11.541554</v>
      </c>
      <c r="P174" s="2" t="str">
        <f t="shared" si="8"/>
        <v>10–15 km/h</v>
      </c>
      <c r="Q174" s="2">
        <v>661</v>
      </c>
      <c r="R174" s="2">
        <v>3846</v>
      </c>
      <c r="S174" s="2">
        <v>4507</v>
      </c>
    </row>
    <row r="175" spans="1:19" x14ac:dyDescent="0.3">
      <c r="A175" s="2">
        <v>174</v>
      </c>
      <c r="B175" s="1" t="s">
        <v>562</v>
      </c>
      <c r="C175" t="s">
        <v>905</v>
      </c>
      <c r="D175">
        <v>2018</v>
      </c>
      <c r="E175" t="s">
        <v>925</v>
      </c>
      <c r="F175" t="s">
        <v>908</v>
      </c>
      <c r="G175" t="s">
        <v>913</v>
      </c>
      <c r="H175" t="s">
        <v>909</v>
      </c>
      <c r="I175" t="s">
        <v>918</v>
      </c>
      <c r="J175" s="2">
        <v>29.861653</v>
      </c>
      <c r="K175" s="2">
        <v>34.691650000000003</v>
      </c>
      <c r="L175" s="2" t="str">
        <f t="shared" si="6"/>
        <v>30–35°C</v>
      </c>
      <c r="M175" s="3">
        <v>70.333299999999994</v>
      </c>
      <c r="N175" s="3" t="str">
        <f t="shared" si="7"/>
        <v>60–80%</v>
      </c>
      <c r="O175" s="2">
        <v>15.999867999999999</v>
      </c>
      <c r="P175" s="2" t="str">
        <f t="shared" si="8"/>
        <v>15–20 km/h</v>
      </c>
      <c r="Q175" s="2">
        <v>746</v>
      </c>
      <c r="R175" s="2">
        <v>4044</v>
      </c>
      <c r="S175" s="2">
        <v>4790</v>
      </c>
    </row>
    <row r="176" spans="1:19" x14ac:dyDescent="0.3">
      <c r="A176" s="2">
        <v>175</v>
      </c>
      <c r="B176" s="1" t="s">
        <v>563</v>
      </c>
      <c r="C176" t="s">
        <v>905</v>
      </c>
      <c r="D176">
        <v>2018</v>
      </c>
      <c r="E176" t="s">
        <v>925</v>
      </c>
      <c r="F176" t="s">
        <v>908</v>
      </c>
      <c r="G176" t="s">
        <v>914</v>
      </c>
      <c r="H176" t="s">
        <v>909</v>
      </c>
      <c r="I176" t="s">
        <v>917</v>
      </c>
      <c r="J176" s="2">
        <v>29.690847000000002</v>
      </c>
      <c r="K176" s="2">
        <v>32.829149999999998</v>
      </c>
      <c r="L176" s="2" t="str">
        <f t="shared" si="6"/>
        <v>30–35°C</v>
      </c>
      <c r="M176" s="3">
        <v>57.333300000000001</v>
      </c>
      <c r="N176" s="3" t="str">
        <f t="shared" si="7"/>
        <v>40–60%</v>
      </c>
      <c r="O176" s="2">
        <v>14.875674999999999</v>
      </c>
      <c r="P176" s="2" t="str">
        <f t="shared" si="8"/>
        <v>10–15 km/h</v>
      </c>
      <c r="Q176" s="2">
        <v>969</v>
      </c>
      <c r="R176" s="2">
        <v>4022</v>
      </c>
      <c r="S176" s="2">
        <v>4991</v>
      </c>
    </row>
    <row r="177" spans="1:19" x14ac:dyDescent="0.3">
      <c r="A177" s="2">
        <v>176</v>
      </c>
      <c r="B177" s="1" t="s">
        <v>564</v>
      </c>
      <c r="C177" t="s">
        <v>905</v>
      </c>
      <c r="D177">
        <v>2018</v>
      </c>
      <c r="E177" t="s">
        <v>925</v>
      </c>
      <c r="F177" t="s">
        <v>908</v>
      </c>
      <c r="G177" t="s">
        <v>915</v>
      </c>
      <c r="H177" t="s">
        <v>908</v>
      </c>
      <c r="I177" t="s">
        <v>917</v>
      </c>
      <c r="J177" s="2">
        <v>28.495000000000001</v>
      </c>
      <c r="K177" s="2">
        <v>32.165649999999999</v>
      </c>
      <c r="L177" s="2" t="str">
        <f t="shared" si="6"/>
        <v>30–35°C</v>
      </c>
      <c r="M177" s="3">
        <v>48.333300000000001</v>
      </c>
      <c r="N177" s="3" t="str">
        <f t="shared" si="7"/>
        <v>40–60%</v>
      </c>
      <c r="O177" s="2">
        <v>14.041257</v>
      </c>
      <c r="P177" s="2" t="str">
        <f t="shared" si="8"/>
        <v>10–15 km/h</v>
      </c>
      <c r="Q177" s="2">
        <v>1782</v>
      </c>
      <c r="R177" s="2">
        <v>3420</v>
      </c>
      <c r="S177" s="2">
        <v>5202</v>
      </c>
    </row>
    <row r="178" spans="1:19" x14ac:dyDescent="0.3">
      <c r="A178" s="2">
        <v>177</v>
      </c>
      <c r="B178" s="1" t="s">
        <v>565</v>
      </c>
      <c r="C178" t="s">
        <v>905</v>
      </c>
      <c r="D178">
        <v>2018</v>
      </c>
      <c r="E178" t="s">
        <v>925</v>
      </c>
      <c r="F178" t="s">
        <v>908</v>
      </c>
      <c r="G178" t="s">
        <v>916</v>
      </c>
      <c r="H178" t="s">
        <v>908</v>
      </c>
      <c r="I178" t="s">
        <v>917</v>
      </c>
      <c r="J178" s="2">
        <v>27.88</v>
      </c>
      <c r="K178" s="2">
        <v>31.881450000000001</v>
      </c>
      <c r="L178" s="2" t="str">
        <f t="shared" si="6"/>
        <v>30–35°C</v>
      </c>
      <c r="M178" s="3">
        <v>51.333300000000001</v>
      </c>
      <c r="N178" s="3" t="str">
        <f t="shared" si="7"/>
        <v>40–60%</v>
      </c>
      <c r="O178" s="2">
        <v>6.3337310999999996</v>
      </c>
      <c r="P178" s="2" t="str">
        <f t="shared" si="8"/>
        <v>5–10 km/h</v>
      </c>
      <c r="Q178" s="2">
        <v>1920</v>
      </c>
      <c r="R178" s="2">
        <v>3385</v>
      </c>
      <c r="S178" s="2">
        <v>5305</v>
      </c>
    </row>
    <row r="179" spans="1:19" x14ac:dyDescent="0.3">
      <c r="A179" s="2">
        <v>178</v>
      </c>
      <c r="B179" s="1" t="s">
        <v>566</v>
      </c>
      <c r="C179" t="s">
        <v>905</v>
      </c>
      <c r="D179">
        <v>2018</v>
      </c>
      <c r="E179" t="s">
        <v>925</v>
      </c>
      <c r="F179" t="s">
        <v>908</v>
      </c>
      <c r="G179" t="s">
        <v>910</v>
      </c>
      <c r="H179" t="s">
        <v>909</v>
      </c>
      <c r="I179" t="s">
        <v>918</v>
      </c>
      <c r="J179" s="2">
        <v>27.982500000000002</v>
      </c>
      <c r="K179" s="2">
        <v>31.850200000000001</v>
      </c>
      <c r="L179" s="2" t="str">
        <f t="shared" si="6"/>
        <v>30–35°C</v>
      </c>
      <c r="M179" s="3">
        <v>65.833299999999994</v>
      </c>
      <c r="N179" s="3" t="str">
        <f t="shared" si="7"/>
        <v>60–80%</v>
      </c>
      <c r="O179" s="2">
        <v>7.2083959999999996</v>
      </c>
      <c r="P179" s="2" t="str">
        <f t="shared" si="8"/>
        <v>5–10 km/h</v>
      </c>
      <c r="Q179" s="2">
        <v>854</v>
      </c>
      <c r="R179" s="2">
        <v>3854</v>
      </c>
      <c r="S179" s="2">
        <v>4708</v>
      </c>
    </row>
    <row r="180" spans="1:19" x14ac:dyDescent="0.3">
      <c r="A180" s="2">
        <v>179</v>
      </c>
      <c r="B180" s="1" t="s">
        <v>567</v>
      </c>
      <c r="C180" t="s">
        <v>905</v>
      </c>
      <c r="D180">
        <v>2018</v>
      </c>
      <c r="E180" t="s">
        <v>925</v>
      </c>
      <c r="F180" t="s">
        <v>908</v>
      </c>
      <c r="G180" t="s">
        <v>911</v>
      </c>
      <c r="H180" t="s">
        <v>909</v>
      </c>
      <c r="I180" t="s">
        <v>917</v>
      </c>
      <c r="J180" s="2">
        <v>30.510846999999998</v>
      </c>
      <c r="K180" s="2">
        <v>34.627899999999997</v>
      </c>
      <c r="L180" s="2" t="str">
        <f t="shared" si="6"/>
        <v>30–35°C</v>
      </c>
      <c r="M180" s="3">
        <v>63.416699999999999</v>
      </c>
      <c r="N180" s="3" t="str">
        <f t="shared" si="7"/>
        <v>60–80%</v>
      </c>
      <c r="O180" s="2">
        <v>9.6669610000000006</v>
      </c>
      <c r="P180" s="2" t="str">
        <f t="shared" si="8"/>
        <v>5–10 km/h</v>
      </c>
      <c r="Q180" s="2">
        <v>732</v>
      </c>
      <c r="R180" s="2">
        <v>3916</v>
      </c>
      <c r="S180" s="2">
        <v>4648</v>
      </c>
    </row>
    <row r="181" spans="1:19" x14ac:dyDescent="0.3">
      <c r="A181" s="2">
        <v>180</v>
      </c>
      <c r="B181" s="1" t="s">
        <v>568</v>
      </c>
      <c r="C181" t="s">
        <v>905</v>
      </c>
      <c r="D181">
        <v>2018</v>
      </c>
      <c r="E181" t="s">
        <v>925</v>
      </c>
      <c r="F181" t="s">
        <v>908</v>
      </c>
      <c r="G181" t="s">
        <v>912</v>
      </c>
      <c r="H181" t="s">
        <v>909</v>
      </c>
      <c r="I181" t="s">
        <v>917</v>
      </c>
      <c r="J181" s="2">
        <v>29.861653</v>
      </c>
      <c r="K181" s="2">
        <v>32.734400000000001</v>
      </c>
      <c r="L181" s="2" t="str">
        <f t="shared" si="6"/>
        <v>30–35°C</v>
      </c>
      <c r="M181" s="3">
        <v>49.791699999999999</v>
      </c>
      <c r="N181" s="3" t="str">
        <f t="shared" si="7"/>
        <v>40–60%</v>
      </c>
      <c r="O181" s="2">
        <v>17.542007000000002</v>
      </c>
      <c r="P181" s="2" t="str">
        <f t="shared" si="8"/>
        <v>15–20 km/h</v>
      </c>
      <c r="Q181" s="2">
        <v>848</v>
      </c>
      <c r="R181" s="2">
        <v>4377</v>
      </c>
      <c r="S181" s="2">
        <v>5225</v>
      </c>
    </row>
    <row r="182" spans="1:19" x14ac:dyDescent="0.3">
      <c r="A182" s="2">
        <v>181</v>
      </c>
      <c r="B182" s="1" t="s">
        <v>569</v>
      </c>
      <c r="C182" t="s">
        <v>905</v>
      </c>
      <c r="D182">
        <v>2018</v>
      </c>
      <c r="E182" t="s">
        <v>925</v>
      </c>
      <c r="F182" t="s">
        <v>908</v>
      </c>
      <c r="G182" t="s">
        <v>913</v>
      </c>
      <c r="H182" t="s">
        <v>909</v>
      </c>
      <c r="I182" t="s">
        <v>917</v>
      </c>
      <c r="J182" s="2">
        <v>28.563347</v>
      </c>
      <c r="K182" s="2">
        <v>31.8504</v>
      </c>
      <c r="L182" s="2" t="str">
        <f t="shared" si="6"/>
        <v>30–35°C</v>
      </c>
      <c r="M182" s="3">
        <v>43.416699999999999</v>
      </c>
      <c r="N182" s="3" t="str">
        <f t="shared" si="7"/>
        <v>40–60%</v>
      </c>
      <c r="O182" s="2">
        <v>12.415903999999999</v>
      </c>
      <c r="P182" s="2" t="str">
        <f t="shared" si="8"/>
        <v>10–15 km/h</v>
      </c>
      <c r="Q182" s="2">
        <v>1027</v>
      </c>
      <c r="R182" s="2">
        <v>4488</v>
      </c>
      <c r="S182" s="2">
        <v>5515</v>
      </c>
    </row>
    <row r="183" spans="1:19" x14ac:dyDescent="0.3">
      <c r="A183" s="2">
        <v>182</v>
      </c>
      <c r="B183" s="1">
        <v>43107</v>
      </c>
      <c r="C183" t="s">
        <v>905</v>
      </c>
      <c r="D183">
        <v>2018</v>
      </c>
      <c r="E183" t="s">
        <v>926</v>
      </c>
      <c r="F183" t="s">
        <v>908</v>
      </c>
      <c r="G183" t="s">
        <v>914</v>
      </c>
      <c r="H183" t="s">
        <v>909</v>
      </c>
      <c r="I183" t="s">
        <v>917</v>
      </c>
      <c r="J183" s="2">
        <v>29.622499999999999</v>
      </c>
      <c r="K183" s="2">
        <v>32.6081</v>
      </c>
      <c r="L183" s="2" t="str">
        <f t="shared" si="6"/>
        <v>30–35°C</v>
      </c>
      <c r="M183" s="3">
        <v>39.625</v>
      </c>
      <c r="N183" s="3" t="str">
        <f t="shared" si="7"/>
        <v>20–40%</v>
      </c>
      <c r="O183" s="2">
        <v>6.8747360000000004</v>
      </c>
      <c r="P183" s="2" t="str">
        <f t="shared" si="8"/>
        <v>5–10 km/h</v>
      </c>
      <c r="Q183" s="2">
        <v>1246</v>
      </c>
      <c r="R183" s="2">
        <v>4116</v>
      </c>
      <c r="S183" s="2">
        <v>5362</v>
      </c>
    </row>
    <row r="184" spans="1:19" x14ac:dyDescent="0.3">
      <c r="A184" s="2">
        <v>183</v>
      </c>
      <c r="B184" s="1">
        <v>43138</v>
      </c>
      <c r="C184" t="s">
        <v>905</v>
      </c>
      <c r="D184">
        <v>2018</v>
      </c>
      <c r="E184" t="s">
        <v>926</v>
      </c>
      <c r="F184" t="s">
        <v>908</v>
      </c>
      <c r="G184" t="s">
        <v>915</v>
      </c>
      <c r="H184" t="s">
        <v>908</v>
      </c>
      <c r="I184" t="s">
        <v>917</v>
      </c>
      <c r="J184" s="2">
        <v>30.271653000000001</v>
      </c>
      <c r="K184" s="2">
        <v>33.365400000000001</v>
      </c>
      <c r="L184" s="2" t="str">
        <f t="shared" si="6"/>
        <v>30–35°C</v>
      </c>
      <c r="M184" s="3">
        <v>44.458300000000001</v>
      </c>
      <c r="N184" s="3" t="str">
        <f t="shared" si="7"/>
        <v>40–60%</v>
      </c>
      <c r="O184" s="2">
        <v>7.7091539999999998</v>
      </c>
      <c r="P184" s="2" t="str">
        <f t="shared" si="8"/>
        <v>5–10 km/h</v>
      </c>
      <c r="Q184" s="2">
        <v>2204</v>
      </c>
      <c r="R184" s="2">
        <v>2915</v>
      </c>
      <c r="S184" s="2">
        <v>5119</v>
      </c>
    </row>
    <row r="185" spans="1:19" x14ac:dyDescent="0.3">
      <c r="A185" s="2">
        <v>184</v>
      </c>
      <c r="B185" s="1">
        <v>43166</v>
      </c>
      <c r="C185" t="s">
        <v>905</v>
      </c>
      <c r="D185">
        <v>2018</v>
      </c>
      <c r="E185" t="s">
        <v>926</v>
      </c>
      <c r="F185" t="s">
        <v>908</v>
      </c>
      <c r="G185" t="s">
        <v>916</v>
      </c>
      <c r="H185" t="s">
        <v>908</v>
      </c>
      <c r="I185" t="s">
        <v>918</v>
      </c>
      <c r="J185" s="2">
        <v>29.383347000000001</v>
      </c>
      <c r="K185" s="2">
        <v>33.428750000000001</v>
      </c>
      <c r="L185" s="2" t="str">
        <f t="shared" si="6"/>
        <v>30–35°C</v>
      </c>
      <c r="M185" s="3">
        <v>68.25</v>
      </c>
      <c r="N185" s="3" t="str">
        <f t="shared" si="7"/>
        <v>60–80%</v>
      </c>
      <c r="O185" s="2">
        <v>15.333486000000001</v>
      </c>
      <c r="P185" s="2" t="str">
        <f t="shared" si="8"/>
        <v>15–20 km/h</v>
      </c>
      <c r="Q185" s="2">
        <v>2282</v>
      </c>
      <c r="R185" s="2">
        <v>2367</v>
      </c>
      <c r="S185" s="2">
        <v>4649</v>
      </c>
    </row>
    <row r="186" spans="1:19" x14ac:dyDescent="0.3">
      <c r="A186" s="2">
        <v>185</v>
      </c>
      <c r="B186" s="1">
        <v>43197</v>
      </c>
      <c r="C186" t="s">
        <v>905</v>
      </c>
      <c r="D186">
        <v>2018</v>
      </c>
      <c r="E186" t="s">
        <v>926</v>
      </c>
      <c r="F186" t="s">
        <v>909</v>
      </c>
      <c r="G186" t="s">
        <v>910</v>
      </c>
      <c r="H186" t="s">
        <v>908</v>
      </c>
      <c r="I186" t="s">
        <v>918</v>
      </c>
      <c r="J186" s="2">
        <v>29.793347000000001</v>
      </c>
      <c r="K186" s="2">
        <v>33.270850000000003</v>
      </c>
      <c r="L186" s="2" t="str">
        <f t="shared" si="6"/>
        <v>30–35°C</v>
      </c>
      <c r="M186" s="3">
        <v>63.791699999999999</v>
      </c>
      <c r="N186" s="3" t="str">
        <f t="shared" si="7"/>
        <v>60–80%</v>
      </c>
      <c r="O186" s="2">
        <v>5.4591063999999996</v>
      </c>
      <c r="P186" s="2" t="str">
        <f t="shared" si="8"/>
        <v>5–10 km/h</v>
      </c>
      <c r="Q186" s="2">
        <v>3065</v>
      </c>
      <c r="R186" s="2">
        <v>2978</v>
      </c>
      <c r="S186" s="2">
        <v>6043</v>
      </c>
    </row>
    <row r="187" spans="1:19" x14ac:dyDescent="0.3">
      <c r="A187" s="2">
        <v>186</v>
      </c>
      <c r="B187" s="1">
        <v>43227</v>
      </c>
      <c r="C187" t="s">
        <v>905</v>
      </c>
      <c r="D187">
        <v>2018</v>
      </c>
      <c r="E187" t="s">
        <v>926</v>
      </c>
      <c r="F187" t="s">
        <v>908</v>
      </c>
      <c r="G187" t="s">
        <v>911</v>
      </c>
      <c r="H187" t="s">
        <v>909</v>
      </c>
      <c r="I187" t="s">
        <v>917</v>
      </c>
      <c r="J187" s="2">
        <v>30.613347000000001</v>
      </c>
      <c r="K187" s="2">
        <v>34.816899999999997</v>
      </c>
      <c r="L187" s="2" t="str">
        <f t="shared" si="6"/>
        <v>30–35°C</v>
      </c>
      <c r="M187" s="3">
        <v>59.041699999999999</v>
      </c>
      <c r="N187" s="3" t="str">
        <f t="shared" si="7"/>
        <v>40–60%</v>
      </c>
      <c r="O187" s="2">
        <v>8.4592860000000005</v>
      </c>
      <c r="P187" s="2" t="str">
        <f t="shared" si="8"/>
        <v>5–10 km/h</v>
      </c>
      <c r="Q187" s="2">
        <v>1031</v>
      </c>
      <c r="R187" s="2">
        <v>3634</v>
      </c>
      <c r="S187" s="2">
        <v>4665</v>
      </c>
    </row>
    <row r="188" spans="1:19" x14ac:dyDescent="0.3">
      <c r="A188" s="2">
        <v>187</v>
      </c>
      <c r="B188" s="1">
        <v>43258</v>
      </c>
      <c r="C188" t="s">
        <v>905</v>
      </c>
      <c r="D188">
        <v>2018</v>
      </c>
      <c r="E188" t="s">
        <v>926</v>
      </c>
      <c r="F188" t="s">
        <v>908</v>
      </c>
      <c r="G188" t="s">
        <v>912</v>
      </c>
      <c r="H188" t="s">
        <v>909</v>
      </c>
      <c r="I188" t="s">
        <v>917</v>
      </c>
      <c r="J188" s="2">
        <v>29.52</v>
      </c>
      <c r="K188" s="2">
        <v>34.281649999999999</v>
      </c>
      <c r="L188" s="2" t="str">
        <f t="shared" si="6"/>
        <v>30–35°C</v>
      </c>
      <c r="M188" s="3">
        <v>74.333299999999994</v>
      </c>
      <c r="N188" s="3" t="str">
        <f t="shared" si="7"/>
        <v>60–80%</v>
      </c>
      <c r="O188" s="2">
        <v>10.042161</v>
      </c>
      <c r="P188" s="2" t="str">
        <f t="shared" si="8"/>
        <v>10–15 km/h</v>
      </c>
      <c r="Q188" s="2">
        <v>784</v>
      </c>
      <c r="R188" s="2">
        <v>3845</v>
      </c>
      <c r="S188" s="2">
        <v>4629</v>
      </c>
    </row>
    <row r="189" spans="1:19" x14ac:dyDescent="0.3">
      <c r="A189" s="2">
        <v>188</v>
      </c>
      <c r="B189" s="1">
        <v>43288</v>
      </c>
      <c r="C189" t="s">
        <v>905</v>
      </c>
      <c r="D189">
        <v>2018</v>
      </c>
      <c r="E189" t="s">
        <v>926</v>
      </c>
      <c r="F189" t="s">
        <v>908</v>
      </c>
      <c r="G189" t="s">
        <v>913</v>
      </c>
      <c r="H189" t="s">
        <v>909</v>
      </c>
      <c r="I189" t="s">
        <v>917</v>
      </c>
      <c r="J189" s="2">
        <v>30.75</v>
      </c>
      <c r="K189" s="2">
        <v>34.34355</v>
      </c>
      <c r="L189" s="2" t="str">
        <f t="shared" si="6"/>
        <v>30–35°C</v>
      </c>
      <c r="M189" s="3">
        <v>65.125</v>
      </c>
      <c r="N189" s="3" t="str">
        <f t="shared" si="7"/>
        <v>60–80%</v>
      </c>
      <c r="O189" s="2">
        <v>10.666399999999999</v>
      </c>
      <c r="P189" s="2" t="str">
        <f t="shared" si="8"/>
        <v>10–15 km/h</v>
      </c>
      <c r="Q189" s="2">
        <v>754</v>
      </c>
      <c r="R189" s="2">
        <v>3838</v>
      </c>
      <c r="S189" s="2">
        <v>4592</v>
      </c>
    </row>
    <row r="190" spans="1:19" x14ac:dyDescent="0.3">
      <c r="A190" s="2">
        <v>189</v>
      </c>
      <c r="B190" s="1">
        <v>43319</v>
      </c>
      <c r="C190" t="s">
        <v>905</v>
      </c>
      <c r="D190">
        <v>2018</v>
      </c>
      <c r="E190" t="s">
        <v>926</v>
      </c>
      <c r="F190" t="s">
        <v>908</v>
      </c>
      <c r="G190" t="s">
        <v>914</v>
      </c>
      <c r="H190" t="s">
        <v>909</v>
      </c>
      <c r="I190" t="s">
        <v>918</v>
      </c>
      <c r="J190" s="2">
        <v>29.075847</v>
      </c>
      <c r="K190" s="2">
        <v>33.524149999999999</v>
      </c>
      <c r="L190" s="2" t="str">
        <f t="shared" si="6"/>
        <v>30–35°C</v>
      </c>
      <c r="M190" s="3">
        <v>75.791700000000006</v>
      </c>
      <c r="N190" s="3" t="str">
        <f t="shared" si="7"/>
        <v>60–80%</v>
      </c>
      <c r="O190" s="2">
        <v>15.083643</v>
      </c>
      <c r="P190" s="2" t="str">
        <f t="shared" si="8"/>
        <v>15–20 km/h</v>
      </c>
      <c r="Q190" s="2">
        <v>692</v>
      </c>
      <c r="R190" s="2">
        <v>3348</v>
      </c>
      <c r="S190" s="2">
        <v>4040</v>
      </c>
    </row>
    <row r="191" spans="1:19" x14ac:dyDescent="0.3">
      <c r="A191" s="2">
        <v>190</v>
      </c>
      <c r="B191" s="1">
        <v>43350</v>
      </c>
      <c r="C191" t="s">
        <v>905</v>
      </c>
      <c r="D191">
        <v>2018</v>
      </c>
      <c r="E191" t="s">
        <v>926</v>
      </c>
      <c r="F191" t="s">
        <v>908</v>
      </c>
      <c r="G191" t="s">
        <v>915</v>
      </c>
      <c r="H191" t="s">
        <v>908</v>
      </c>
      <c r="I191" t="s">
        <v>917</v>
      </c>
      <c r="J191" s="2">
        <v>30.066652999999999</v>
      </c>
      <c r="K191" s="2">
        <v>33.207900000000002</v>
      </c>
      <c r="L191" s="2" t="str">
        <f t="shared" si="6"/>
        <v>30–35°C</v>
      </c>
      <c r="M191" s="3">
        <v>60.916699999999999</v>
      </c>
      <c r="N191" s="3" t="str">
        <f t="shared" si="7"/>
        <v>60–80%</v>
      </c>
      <c r="O191" s="2">
        <v>11.250104</v>
      </c>
      <c r="P191" s="2" t="str">
        <f t="shared" si="8"/>
        <v>10–15 km/h</v>
      </c>
      <c r="Q191" s="2">
        <v>1988</v>
      </c>
      <c r="R191" s="2">
        <v>3348</v>
      </c>
      <c r="S191" s="2">
        <v>5336</v>
      </c>
    </row>
    <row r="192" spans="1:19" x14ac:dyDescent="0.3">
      <c r="A192" s="2">
        <v>191</v>
      </c>
      <c r="B192" s="1">
        <v>43380</v>
      </c>
      <c r="C192" t="s">
        <v>905</v>
      </c>
      <c r="D192">
        <v>2018</v>
      </c>
      <c r="E192" t="s">
        <v>926</v>
      </c>
      <c r="F192" t="s">
        <v>908</v>
      </c>
      <c r="G192" t="s">
        <v>916</v>
      </c>
      <c r="H192" t="s">
        <v>908</v>
      </c>
      <c r="I192" t="s">
        <v>917</v>
      </c>
      <c r="J192" s="2">
        <v>30.647500000000001</v>
      </c>
      <c r="K192" s="2">
        <v>34.501249999999999</v>
      </c>
      <c r="L192" s="2" t="str">
        <f t="shared" si="6"/>
        <v>30–35°C</v>
      </c>
      <c r="M192" s="3">
        <v>57.833300000000001</v>
      </c>
      <c r="N192" s="3" t="str">
        <f t="shared" si="7"/>
        <v>40–60%</v>
      </c>
      <c r="O192" s="2">
        <v>12.292557</v>
      </c>
      <c r="P192" s="2" t="str">
        <f t="shared" si="8"/>
        <v>10–15 km/h</v>
      </c>
      <c r="Q192" s="2">
        <v>1743</v>
      </c>
      <c r="R192" s="2">
        <v>3138</v>
      </c>
      <c r="S192" s="2">
        <v>4881</v>
      </c>
    </row>
    <row r="193" spans="1:19" x14ac:dyDescent="0.3">
      <c r="A193" s="2">
        <v>192</v>
      </c>
      <c r="B193" s="1">
        <v>43411</v>
      </c>
      <c r="C193" t="s">
        <v>905</v>
      </c>
      <c r="D193">
        <v>2018</v>
      </c>
      <c r="E193" t="s">
        <v>926</v>
      </c>
      <c r="F193" t="s">
        <v>908</v>
      </c>
      <c r="G193" t="s">
        <v>910</v>
      </c>
      <c r="H193" t="s">
        <v>909</v>
      </c>
      <c r="I193" t="s">
        <v>917</v>
      </c>
      <c r="J193" s="2">
        <v>31.262499999999999</v>
      </c>
      <c r="K193" s="2">
        <v>36.490200000000002</v>
      </c>
      <c r="L193" s="2" t="str">
        <f t="shared" si="6"/>
        <v>35–40°C</v>
      </c>
      <c r="M193" s="3">
        <v>63.583300000000001</v>
      </c>
      <c r="N193" s="3" t="str">
        <f t="shared" si="7"/>
        <v>60–80%</v>
      </c>
      <c r="O193" s="2">
        <v>18.916578999999999</v>
      </c>
      <c r="P193" s="2" t="str">
        <f t="shared" si="8"/>
        <v>15–20 km/h</v>
      </c>
      <c r="Q193" s="2">
        <v>723</v>
      </c>
      <c r="R193" s="2">
        <v>3363</v>
      </c>
      <c r="S193" s="2">
        <v>4086</v>
      </c>
    </row>
    <row r="194" spans="1:19" x14ac:dyDescent="0.3">
      <c r="A194" s="2">
        <v>193</v>
      </c>
      <c r="B194" s="1">
        <v>43441</v>
      </c>
      <c r="C194" t="s">
        <v>905</v>
      </c>
      <c r="D194">
        <v>2018</v>
      </c>
      <c r="E194" t="s">
        <v>926</v>
      </c>
      <c r="F194" t="s">
        <v>908</v>
      </c>
      <c r="G194" t="s">
        <v>911</v>
      </c>
      <c r="H194" t="s">
        <v>909</v>
      </c>
      <c r="I194" t="s">
        <v>917</v>
      </c>
      <c r="J194" s="2">
        <v>32.560847000000003</v>
      </c>
      <c r="K194" s="2">
        <v>36.963749999999997</v>
      </c>
      <c r="L194" s="2" t="str">
        <f t="shared" ref="L194:L257" si="9">FLOOR(K194,5)&amp;"–"&amp;FLOOR(K194,5)+5&amp;"°C"</f>
        <v>35–40°C</v>
      </c>
      <c r="M194" s="3">
        <v>55.916699999999999</v>
      </c>
      <c r="N194" s="3" t="str">
        <f t="shared" ref="N194:N257" si="10">FLOOR(M194,20)&amp;"–"&amp;FLOOR(M194,20)+20&amp;"%"</f>
        <v>40–60%</v>
      </c>
      <c r="O194" s="2">
        <v>13.417018000000001</v>
      </c>
      <c r="P194" s="2" t="str">
        <f t="shared" ref="P194:P257" si="11">FLOOR(O194,5)&amp;"–"&amp;FLOOR(O194,5)+5&amp;" km/h"</f>
        <v>10–15 km/h</v>
      </c>
      <c r="Q194" s="2">
        <v>662</v>
      </c>
      <c r="R194" s="2">
        <v>3596</v>
      </c>
      <c r="S194" s="2">
        <v>4258</v>
      </c>
    </row>
    <row r="195" spans="1:19" x14ac:dyDescent="0.3">
      <c r="A195" s="2">
        <v>194</v>
      </c>
      <c r="B195" s="1" t="s">
        <v>570</v>
      </c>
      <c r="C195" t="s">
        <v>905</v>
      </c>
      <c r="D195">
        <v>2018</v>
      </c>
      <c r="E195" t="s">
        <v>926</v>
      </c>
      <c r="F195" t="s">
        <v>908</v>
      </c>
      <c r="G195" t="s">
        <v>912</v>
      </c>
      <c r="H195" t="s">
        <v>909</v>
      </c>
      <c r="I195" t="s">
        <v>917</v>
      </c>
      <c r="J195" s="2">
        <v>30.613347000000001</v>
      </c>
      <c r="K195" s="2">
        <v>34.470199999999998</v>
      </c>
      <c r="L195" s="2" t="str">
        <f t="shared" si="9"/>
        <v>30–35°C</v>
      </c>
      <c r="M195" s="3">
        <v>63.166699999999999</v>
      </c>
      <c r="N195" s="3" t="str">
        <f t="shared" si="10"/>
        <v>60–80%</v>
      </c>
      <c r="O195" s="2">
        <v>9.7909109999999995</v>
      </c>
      <c r="P195" s="2" t="str">
        <f t="shared" si="11"/>
        <v>5–10 km/h</v>
      </c>
      <c r="Q195" s="2">
        <v>748</v>
      </c>
      <c r="R195" s="2">
        <v>3594</v>
      </c>
      <c r="S195" s="2">
        <v>4342</v>
      </c>
    </row>
    <row r="196" spans="1:19" x14ac:dyDescent="0.3">
      <c r="A196" s="2">
        <v>195</v>
      </c>
      <c r="B196" s="1" t="s">
        <v>571</v>
      </c>
      <c r="C196" t="s">
        <v>905</v>
      </c>
      <c r="D196">
        <v>2018</v>
      </c>
      <c r="E196" t="s">
        <v>926</v>
      </c>
      <c r="F196" t="s">
        <v>908</v>
      </c>
      <c r="G196" t="s">
        <v>913</v>
      </c>
      <c r="H196" t="s">
        <v>909</v>
      </c>
      <c r="I196" t="s">
        <v>917</v>
      </c>
      <c r="J196" s="2">
        <v>27.914152999999999</v>
      </c>
      <c r="K196" s="2">
        <v>31.755199999999999</v>
      </c>
      <c r="L196" s="2" t="str">
        <f t="shared" si="9"/>
        <v>30–35°C</v>
      </c>
      <c r="M196" s="3">
        <v>47.625</v>
      </c>
      <c r="N196" s="3" t="str">
        <f t="shared" si="10"/>
        <v>40–60%</v>
      </c>
      <c r="O196" s="2">
        <v>16.124689</v>
      </c>
      <c r="P196" s="2" t="str">
        <f t="shared" si="11"/>
        <v>15–20 km/h</v>
      </c>
      <c r="Q196" s="2">
        <v>888</v>
      </c>
      <c r="R196" s="2">
        <v>4196</v>
      </c>
      <c r="S196" s="2">
        <v>5084</v>
      </c>
    </row>
    <row r="197" spans="1:19" x14ac:dyDescent="0.3">
      <c r="A197" s="2">
        <v>196</v>
      </c>
      <c r="B197" s="1" t="s">
        <v>572</v>
      </c>
      <c r="C197" t="s">
        <v>905</v>
      </c>
      <c r="D197">
        <v>2018</v>
      </c>
      <c r="E197" t="s">
        <v>926</v>
      </c>
      <c r="F197" t="s">
        <v>908</v>
      </c>
      <c r="G197" t="s">
        <v>914</v>
      </c>
      <c r="H197" t="s">
        <v>909</v>
      </c>
      <c r="I197" t="s">
        <v>917</v>
      </c>
      <c r="J197" s="2">
        <v>27.196653000000001</v>
      </c>
      <c r="K197" s="2">
        <v>31.21855</v>
      </c>
      <c r="L197" s="2" t="str">
        <f t="shared" si="9"/>
        <v>30–35°C</v>
      </c>
      <c r="M197" s="3">
        <v>59.125</v>
      </c>
      <c r="N197" s="3" t="str">
        <f t="shared" si="10"/>
        <v>40–60%</v>
      </c>
      <c r="O197" s="2">
        <v>12.249810999999999</v>
      </c>
      <c r="P197" s="2" t="str">
        <f t="shared" si="11"/>
        <v>10–15 km/h</v>
      </c>
      <c r="Q197" s="2">
        <v>1318</v>
      </c>
      <c r="R197" s="2">
        <v>4220</v>
      </c>
      <c r="S197" s="2">
        <v>5538</v>
      </c>
    </row>
    <row r="198" spans="1:19" x14ac:dyDescent="0.3">
      <c r="A198" s="2">
        <v>197</v>
      </c>
      <c r="B198" s="1" t="s">
        <v>573</v>
      </c>
      <c r="C198" t="s">
        <v>905</v>
      </c>
      <c r="D198">
        <v>2018</v>
      </c>
      <c r="E198" t="s">
        <v>926</v>
      </c>
      <c r="F198" t="s">
        <v>908</v>
      </c>
      <c r="G198" t="s">
        <v>915</v>
      </c>
      <c r="H198" t="s">
        <v>908</v>
      </c>
      <c r="I198" t="s">
        <v>917</v>
      </c>
      <c r="J198" s="2">
        <v>28.153347</v>
      </c>
      <c r="K198" s="2">
        <v>31.913150000000002</v>
      </c>
      <c r="L198" s="2" t="str">
        <f t="shared" si="9"/>
        <v>30–35°C</v>
      </c>
      <c r="M198" s="3">
        <v>58.5</v>
      </c>
      <c r="N198" s="3" t="str">
        <f t="shared" si="10"/>
        <v>40–60%</v>
      </c>
      <c r="O198" s="2">
        <v>13.958914</v>
      </c>
      <c r="P198" s="2" t="str">
        <f t="shared" si="11"/>
        <v>10–15 km/h</v>
      </c>
      <c r="Q198" s="2">
        <v>2418</v>
      </c>
      <c r="R198" s="2">
        <v>3505</v>
      </c>
      <c r="S198" s="2">
        <v>5923</v>
      </c>
    </row>
    <row r="199" spans="1:19" x14ac:dyDescent="0.3">
      <c r="A199" s="2">
        <v>198</v>
      </c>
      <c r="B199" s="1" t="s">
        <v>574</v>
      </c>
      <c r="C199" t="s">
        <v>905</v>
      </c>
      <c r="D199">
        <v>2018</v>
      </c>
      <c r="E199" t="s">
        <v>926</v>
      </c>
      <c r="F199" t="s">
        <v>908</v>
      </c>
      <c r="G199" t="s">
        <v>916</v>
      </c>
      <c r="H199" t="s">
        <v>908</v>
      </c>
      <c r="I199" t="s">
        <v>917</v>
      </c>
      <c r="J199" s="2">
        <v>29.485847</v>
      </c>
      <c r="K199" s="2">
        <v>33.49165</v>
      </c>
      <c r="L199" s="2" t="str">
        <f t="shared" si="9"/>
        <v>30–35°C</v>
      </c>
      <c r="M199" s="3">
        <v>60.416699999999999</v>
      </c>
      <c r="N199" s="3" t="str">
        <f t="shared" si="10"/>
        <v>60–80%</v>
      </c>
      <c r="O199" s="2">
        <v>16.417211000000002</v>
      </c>
      <c r="P199" s="2" t="str">
        <f t="shared" si="11"/>
        <v>15–20 km/h</v>
      </c>
      <c r="Q199" s="2">
        <v>2006</v>
      </c>
      <c r="R199" s="2">
        <v>3296</v>
      </c>
      <c r="S199" s="2">
        <v>5302</v>
      </c>
    </row>
    <row r="200" spans="1:19" x14ac:dyDescent="0.3">
      <c r="A200" s="2">
        <v>199</v>
      </c>
      <c r="B200" s="1" t="s">
        <v>575</v>
      </c>
      <c r="C200" t="s">
        <v>905</v>
      </c>
      <c r="D200">
        <v>2018</v>
      </c>
      <c r="E200" t="s">
        <v>926</v>
      </c>
      <c r="F200" t="s">
        <v>908</v>
      </c>
      <c r="G200" t="s">
        <v>910</v>
      </c>
      <c r="H200" t="s">
        <v>909</v>
      </c>
      <c r="I200" t="s">
        <v>917</v>
      </c>
      <c r="J200" s="2">
        <v>30.613347000000001</v>
      </c>
      <c r="K200" s="2">
        <v>35.196249999999999</v>
      </c>
      <c r="L200" s="2" t="str">
        <f t="shared" si="9"/>
        <v>35–40°C</v>
      </c>
      <c r="M200" s="3">
        <v>65.125</v>
      </c>
      <c r="N200" s="3" t="str">
        <f t="shared" si="10"/>
        <v>60–80%</v>
      </c>
      <c r="O200" s="2">
        <v>14.458868000000001</v>
      </c>
      <c r="P200" s="2" t="str">
        <f t="shared" si="11"/>
        <v>10–15 km/h</v>
      </c>
      <c r="Q200" s="2">
        <v>841</v>
      </c>
      <c r="R200" s="2">
        <v>3617</v>
      </c>
      <c r="S200" s="2">
        <v>4458</v>
      </c>
    </row>
    <row r="201" spans="1:19" x14ac:dyDescent="0.3">
      <c r="A201" s="2">
        <v>200</v>
      </c>
      <c r="B201" s="1" t="s">
        <v>576</v>
      </c>
      <c r="C201" t="s">
        <v>905</v>
      </c>
      <c r="D201">
        <v>2018</v>
      </c>
      <c r="E201" t="s">
        <v>926</v>
      </c>
      <c r="F201" t="s">
        <v>908</v>
      </c>
      <c r="G201" t="s">
        <v>911</v>
      </c>
      <c r="H201" t="s">
        <v>909</v>
      </c>
      <c r="I201" t="s">
        <v>917</v>
      </c>
      <c r="J201" s="2">
        <v>31.843347000000001</v>
      </c>
      <c r="K201" s="2">
        <v>37.373950000000001</v>
      </c>
      <c r="L201" s="2" t="str">
        <f t="shared" si="9"/>
        <v>35–40°C</v>
      </c>
      <c r="M201" s="3">
        <v>65.041700000000006</v>
      </c>
      <c r="N201" s="3" t="str">
        <f t="shared" si="10"/>
        <v>60–80%</v>
      </c>
      <c r="O201" s="2">
        <v>8.7501999999999995</v>
      </c>
      <c r="P201" s="2" t="str">
        <f t="shared" si="11"/>
        <v>5–10 km/h</v>
      </c>
      <c r="Q201" s="2">
        <v>752</v>
      </c>
      <c r="R201" s="2">
        <v>3789</v>
      </c>
      <c r="S201" s="2">
        <v>4541</v>
      </c>
    </row>
    <row r="202" spans="1:19" x14ac:dyDescent="0.3">
      <c r="A202" s="2">
        <v>201</v>
      </c>
      <c r="B202" s="1" t="s">
        <v>577</v>
      </c>
      <c r="C202" t="s">
        <v>905</v>
      </c>
      <c r="D202">
        <v>2018</v>
      </c>
      <c r="E202" t="s">
        <v>926</v>
      </c>
      <c r="F202" t="s">
        <v>908</v>
      </c>
      <c r="G202" t="s">
        <v>912</v>
      </c>
      <c r="H202" t="s">
        <v>909</v>
      </c>
      <c r="I202" t="s">
        <v>917</v>
      </c>
      <c r="J202" s="2">
        <v>31.501653000000001</v>
      </c>
      <c r="K202" s="2">
        <v>37.342500000000001</v>
      </c>
      <c r="L202" s="2" t="str">
        <f t="shared" si="9"/>
        <v>35–40°C</v>
      </c>
      <c r="M202" s="3">
        <v>70.708299999999994</v>
      </c>
      <c r="N202" s="3" t="str">
        <f t="shared" si="10"/>
        <v>60–80%</v>
      </c>
      <c r="O202" s="2">
        <v>7.6257390000000003</v>
      </c>
      <c r="P202" s="2" t="str">
        <f t="shared" si="11"/>
        <v>5–10 km/h</v>
      </c>
      <c r="Q202" s="2">
        <v>644</v>
      </c>
      <c r="R202" s="2">
        <v>3688</v>
      </c>
      <c r="S202" s="2">
        <v>4332</v>
      </c>
    </row>
    <row r="203" spans="1:19" x14ac:dyDescent="0.3">
      <c r="A203" s="2">
        <v>202</v>
      </c>
      <c r="B203" s="1" t="s">
        <v>578</v>
      </c>
      <c r="C203" t="s">
        <v>905</v>
      </c>
      <c r="D203">
        <v>2018</v>
      </c>
      <c r="E203" t="s">
        <v>926</v>
      </c>
      <c r="F203" t="s">
        <v>908</v>
      </c>
      <c r="G203" t="s">
        <v>913</v>
      </c>
      <c r="H203" t="s">
        <v>909</v>
      </c>
      <c r="I203" t="s">
        <v>918</v>
      </c>
      <c r="J203" s="2">
        <v>33.414999999999999</v>
      </c>
      <c r="K203" s="2">
        <v>41.318550000000002</v>
      </c>
      <c r="L203" s="2" t="str">
        <f t="shared" si="9"/>
        <v>40–45°C</v>
      </c>
      <c r="M203" s="3">
        <v>69.125</v>
      </c>
      <c r="N203" s="3" t="str">
        <f t="shared" si="10"/>
        <v>60–80%</v>
      </c>
      <c r="O203" s="2">
        <v>14.875406999999999</v>
      </c>
      <c r="P203" s="2" t="str">
        <f t="shared" si="11"/>
        <v>10–15 km/h</v>
      </c>
      <c r="Q203" s="2">
        <v>632</v>
      </c>
      <c r="R203" s="2">
        <v>3152</v>
      </c>
      <c r="S203" s="2">
        <v>3784</v>
      </c>
    </row>
    <row r="204" spans="1:19" x14ac:dyDescent="0.3">
      <c r="A204" s="2">
        <v>203</v>
      </c>
      <c r="B204" s="1" t="s">
        <v>579</v>
      </c>
      <c r="C204" t="s">
        <v>905</v>
      </c>
      <c r="D204">
        <v>2018</v>
      </c>
      <c r="E204" t="s">
        <v>926</v>
      </c>
      <c r="F204" t="s">
        <v>908</v>
      </c>
      <c r="G204" t="s">
        <v>914</v>
      </c>
      <c r="H204" t="s">
        <v>909</v>
      </c>
      <c r="I204" t="s">
        <v>917</v>
      </c>
      <c r="J204" s="2">
        <v>34.781652999999999</v>
      </c>
      <c r="K204" s="2">
        <v>42.044800000000002</v>
      </c>
      <c r="L204" s="2" t="str">
        <f t="shared" si="9"/>
        <v>40–45°C</v>
      </c>
      <c r="M204" s="3">
        <v>58.041699999999999</v>
      </c>
      <c r="N204" s="3" t="str">
        <f t="shared" si="10"/>
        <v>40–60%</v>
      </c>
      <c r="O204" s="2">
        <v>8.9177</v>
      </c>
      <c r="P204" s="2" t="str">
        <f t="shared" si="11"/>
        <v>5–10 km/h</v>
      </c>
      <c r="Q204" s="2">
        <v>562</v>
      </c>
      <c r="R204" s="2">
        <v>2825</v>
      </c>
      <c r="S204" s="2">
        <v>3387</v>
      </c>
    </row>
    <row r="205" spans="1:19" x14ac:dyDescent="0.3">
      <c r="A205" s="2">
        <v>204</v>
      </c>
      <c r="B205" s="1" t="s">
        <v>580</v>
      </c>
      <c r="C205" t="s">
        <v>905</v>
      </c>
      <c r="D205">
        <v>2018</v>
      </c>
      <c r="E205" t="s">
        <v>926</v>
      </c>
      <c r="F205" t="s">
        <v>908</v>
      </c>
      <c r="G205" t="s">
        <v>915</v>
      </c>
      <c r="H205" t="s">
        <v>908</v>
      </c>
      <c r="I205" t="s">
        <v>917</v>
      </c>
      <c r="J205" s="2">
        <v>34.815846999999998</v>
      </c>
      <c r="K205" s="2">
        <v>40.214350000000003</v>
      </c>
      <c r="L205" s="2" t="str">
        <f t="shared" si="9"/>
        <v>40–45°C</v>
      </c>
      <c r="M205" s="3">
        <v>50</v>
      </c>
      <c r="N205" s="3" t="str">
        <f t="shared" si="10"/>
        <v>40–60%</v>
      </c>
      <c r="O205" s="2">
        <v>8.7918070000000004</v>
      </c>
      <c r="P205" s="2" t="str">
        <f t="shared" si="11"/>
        <v>5–10 km/h</v>
      </c>
      <c r="Q205" s="2">
        <v>987</v>
      </c>
      <c r="R205" s="2">
        <v>2298</v>
      </c>
      <c r="S205" s="2">
        <v>3285</v>
      </c>
    </row>
    <row r="206" spans="1:19" x14ac:dyDescent="0.3">
      <c r="A206" s="2">
        <v>205</v>
      </c>
      <c r="B206" s="1" t="s">
        <v>581</v>
      </c>
      <c r="C206" t="s">
        <v>905</v>
      </c>
      <c r="D206">
        <v>2018</v>
      </c>
      <c r="E206" t="s">
        <v>926</v>
      </c>
      <c r="F206" t="s">
        <v>908</v>
      </c>
      <c r="G206" t="s">
        <v>916</v>
      </c>
      <c r="H206" t="s">
        <v>908</v>
      </c>
      <c r="I206" t="s">
        <v>917</v>
      </c>
      <c r="J206" s="2">
        <v>34.03</v>
      </c>
      <c r="K206" s="2">
        <v>39.74145</v>
      </c>
      <c r="L206" s="2" t="str">
        <f t="shared" si="9"/>
        <v>35–40°C</v>
      </c>
      <c r="M206" s="3">
        <v>55.083300000000001</v>
      </c>
      <c r="N206" s="3" t="str">
        <f t="shared" si="10"/>
        <v>40–60%</v>
      </c>
      <c r="O206" s="2">
        <v>11.334457</v>
      </c>
      <c r="P206" s="2" t="str">
        <f t="shared" si="11"/>
        <v>10–15 km/h</v>
      </c>
      <c r="Q206" s="2">
        <v>1050</v>
      </c>
      <c r="R206" s="2">
        <v>2556</v>
      </c>
      <c r="S206" s="2">
        <v>3606</v>
      </c>
    </row>
    <row r="207" spans="1:19" x14ac:dyDescent="0.3">
      <c r="A207" s="2">
        <v>206</v>
      </c>
      <c r="B207" s="1" t="s">
        <v>582</v>
      </c>
      <c r="C207" t="s">
        <v>905</v>
      </c>
      <c r="D207">
        <v>2018</v>
      </c>
      <c r="E207" t="s">
        <v>926</v>
      </c>
      <c r="F207" t="s">
        <v>908</v>
      </c>
      <c r="G207" t="s">
        <v>910</v>
      </c>
      <c r="H207" t="s">
        <v>909</v>
      </c>
      <c r="I207" t="s">
        <v>917</v>
      </c>
      <c r="J207" s="2">
        <v>30.476652999999999</v>
      </c>
      <c r="K207" s="2">
        <v>36.047899999999998</v>
      </c>
      <c r="L207" s="2" t="str">
        <f t="shared" si="9"/>
        <v>35–40°C</v>
      </c>
      <c r="M207" s="3">
        <v>75.708299999999994</v>
      </c>
      <c r="N207" s="3" t="str">
        <f t="shared" si="10"/>
        <v>60–80%</v>
      </c>
      <c r="O207" s="2">
        <v>6.0841561000000004</v>
      </c>
      <c r="P207" s="2" t="str">
        <f t="shared" si="11"/>
        <v>5–10 km/h</v>
      </c>
      <c r="Q207" s="2">
        <v>568</v>
      </c>
      <c r="R207" s="2">
        <v>3272</v>
      </c>
      <c r="S207" s="2">
        <v>3840</v>
      </c>
    </row>
    <row r="208" spans="1:19" x14ac:dyDescent="0.3">
      <c r="A208" s="2">
        <v>207</v>
      </c>
      <c r="B208" s="1" t="s">
        <v>583</v>
      </c>
      <c r="C208" t="s">
        <v>905</v>
      </c>
      <c r="D208">
        <v>2018</v>
      </c>
      <c r="E208" t="s">
        <v>926</v>
      </c>
      <c r="F208" t="s">
        <v>908</v>
      </c>
      <c r="G208" t="s">
        <v>911</v>
      </c>
      <c r="H208" t="s">
        <v>909</v>
      </c>
      <c r="I208" t="s">
        <v>917</v>
      </c>
      <c r="J208" s="2">
        <v>31.638347</v>
      </c>
      <c r="K208" s="2">
        <v>34.848950000000002</v>
      </c>
      <c r="L208" s="2" t="str">
        <f t="shared" si="9"/>
        <v>30–35°C</v>
      </c>
      <c r="M208" s="3">
        <v>54.083300000000001</v>
      </c>
      <c r="N208" s="3" t="str">
        <f t="shared" si="10"/>
        <v>40–60%</v>
      </c>
      <c r="O208" s="2">
        <v>13.417286000000001</v>
      </c>
      <c r="P208" s="2" t="str">
        <f t="shared" si="11"/>
        <v>10–15 km/h</v>
      </c>
      <c r="Q208" s="2">
        <v>750</v>
      </c>
      <c r="R208" s="2">
        <v>3840</v>
      </c>
      <c r="S208" s="2">
        <v>4590</v>
      </c>
    </row>
    <row r="209" spans="1:19" x14ac:dyDescent="0.3">
      <c r="A209" s="2">
        <v>208</v>
      </c>
      <c r="B209" s="1" t="s">
        <v>584</v>
      </c>
      <c r="C209" t="s">
        <v>905</v>
      </c>
      <c r="D209">
        <v>2018</v>
      </c>
      <c r="E209" t="s">
        <v>926</v>
      </c>
      <c r="F209" t="s">
        <v>908</v>
      </c>
      <c r="G209" t="s">
        <v>912</v>
      </c>
      <c r="H209" t="s">
        <v>909</v>
      </c>
      <c r="I209" t="s">
        <v>917</v>
      </c>
      <c r="J209" s="2">
        <v>31.774999999999999</v>
      </c>
      <c r="K209" s="2">
        <v>34.533349999999999</v>
      </c>
      <c r="L209" s="2" t="str">
        <f t="shared" si="9"/>
        <v>30–35°C</v>
      </c>
      <c r="M209" s="3">
        <v>40.291699999999999</v>
      </c>
      <c r="N209" s="3" t="str">
        <f t="shared" si="10"/>
        <v>40–60%</v>
      </c>
      <c r="O209" s="2">
        <v>12.292021</v>
      </c>
      <c r="P209" s="2" t="str">
        <f t="shared" si="11"/>
        <v>10–15 km/h</v>
      </c>
      <c r="Q209" s="2">
        <v>755</v>
      </c>
      <c r="R209" s="2">
        <v>3901</v>
      </c>
      <c r="S209" s="2">
        <v>4656</v>
      </c>
    </row>
    <row r="210" spans="1:19" x14ac:dyDescent="0.3">
      <c r="A210" s="2">
        <v>209</v>
      </c>
      <c r="B210" s="1" t="s">
        <v>585</v>
      </c>
      <c r="C210" t="s">
        <v>905</v>
      </c>
      <c r="D210">
        <v>2018</v>
      </c>
      <c r="E210" t="s">
        <v>926</v>
      </c>
      <c r="F210" t="s">
        <v>908</v>
      </c>
      <c r="G210" t="s">
        <v>913</v>
      </c>
      <c r="H210" t="s">
        <v>909</v>
      </c>
      <c r="I210" t="s">
        <v>917</v>
      </c>
      <c r="J210" s="2">
        <v>31.945847000000001</v>
      </c>
      <c r="K210" s="2">
        <v>36.994999999999997</v>
      </c>
      <c r="L210" s="2" t="str">
        <f t="shared" si="9"/>
        <v>35–40°C</v>
      </c>
      <c r="M210" s="3">
        <v>58.333300000000001</v>
      </c>
      <c r="N210" s="3" t="str">
        <f t="shared" si="10"/>
        <v>40–60%</v>
      </c>
      <c r="O210" s="2">
        <v>11.958093</v>
      </c>
      <c r="P210" s="2" t="str">
        <f t="shared" si="11"/>
        <v>10–15 km/h</v>
      </c>
      <c r="Q210" s="2">
        <v>606</v>
      </c>
      <c r="R210" s="2">
        <v>3784</v>
      </c>
      <c r="S210" s="2">
        <v>4390</v>
      </c>
    </row>
    <row r="211" spans="1:19" x14ac:dyDescent="0.3">
      <c r="A211" s="2">
        <v>210</v>
      </c>
      <c r="B211" s="1" t="s">
        <v>586</v>
      </c>
      <c r="C211" t="s">
        <v>905</v>
      </c>
      <c r="D211">
        <v>2018</v>
      </c>
      <c r="E211" t="s">
        <v>926</v>
      </c>
      <c r="F211" t="s">
        <v>908</v>
      </c>
      <c r="G211" t="s">
        <v>914</v>
      </c>
      <c r="H211" t="s">
        <v>909</v>
      </c>
      <c r="I211" t="s">
        <v>917</v>
      </c>
      <c r="J211" s="2">
        <v>34.371653000000002</v>
      </c>
      <c r="K211" s="2">
        <v>39.298349999999999</v>
      </c>
      <c r="L211" s="2" t="str">
        <f t="shared" si="9"/>
        <v>35–40°C</v>
      </c>
      <c r="M211" s="3">
        <v>54.25</v>
      </c>
      <c r="N211" s="3" t="str">
        <f t="shared" si="10"/>
        <v>40–60%</v>
      </c>
      <c r="O211" s="2">
        <v>11.667246</v>
      </c>
      <c r="P211" s="2" t="str">
        <f t="shared" si="11"/>
        <v>10–15 km/h</v>
      </c>
      <c r="Q211" s="2">
        <v>670</v>
      </c>
      <c r="R211" s="2">
        <v>3176</v>
      </c>
      <c r="S211" s="2">
        <v>3846</v>
      </c>
    </row>
    <row r="212" spans="1:19" x14ac:dyDescent="0.3">
      <c r="A212" s="2">
        <v>211</v>
      </c>
      <c r="B212" s="1" t="s">
        <v>587</v>
      </c>
      <c r="C212" t="s">
        <v>905</v>
      </c>
      <c r="D212">
        <v>2018</v>
      </c>
      <c r="E212" t="s">
        <v>926</v>
      </c>
      <c r="F212" t="s">
        <v>908</v>
      </c>
      <c r="G212" t="s">
        <v>915</v>
      </c>
      <c r="H212" t="s">
        <v>908</v>
      </c>
      <c r="I212" t="s">
        <v>917</v>
      </c>
      <c r="J212" s="2">
        <v>32.970846999999999</v>
      </c>
      <c r="K212" s="2">
        <v>36.426850000000002</v>
      </c>
      <c r="L212" s="2" t="str">
        <f t="shared" si="9"/>
        <v>35–40°C</v>
      </c>
      <c r="M212" s="3">
        <v>46.583300000000001</v>
      </c>
      <c r="N212" s="3" t="str">
        <f t="shared" si="10"/>
        <v>40–60%</v>
      </c>
      <c r="O212" s="2">
        <v>11.291979</v>
      </c>
      <c r="P212" s="2" t="str">
        <f t="shared" si="11"/>
        <v>10–15 km/h</v>
      </c>
      <c r="Q212" s="2">
        <v>1559</v>
      </c>
      <c r="R212" s="2">
        <v>2916</v>
      </c>
      <c r="S212" s="2">
        <v>4475</v>
      </c>
    </row>
    <row r="213" spans="1:19" x14ac:dyDescent="0.3">
      <c r="A213" s="2">
        <v>212</v>
      </c>
      <c r="B213" s="1" t="s">
        <v>588</v>
      </c>
      <c r="C213" t="s">
        <v>905</v>
      </c>
      <c r="D213">
        <v>2018</v>
      </c>
      <c r="E213" t="s">
        <v>926</v>
      </c>
      <c r="F213" t="s">
        <v>908</v>
      </c>
      <c r="G213" t="s">
        <v>916</v>
      </c>
      <c r="H213" t="s">
        <v>908</v>
      </c>
      <c r="I213" t="s">
        <v>917</v>
      </c>
      <c r="J213" s="2">
        <v>33.039152999999999</v>
      </c>
      <c r="K213" s="2">
        <v>36.489800000000002</v>
      </c>
      <c r="L213" s="2" t="str">
        <f t="shared" si="9"/>
        <v>35–40°C</v>
      </c>
      <c r="M213" s="3">
        <v>48.083300000000001</v>
      </c>
      <c r="N213" s="3" t="str">
        <f t="shared" si="10"/>
        <v>40–60%</v>
      </c>
      <c r="O213" s="2">
        <v>11.042471000000001</v>
      </c>
      <c r="P213" s="2" t="str">
        <f t="shared" si="11"/>
        <v>10–15 km/h</v>
      </c>
      <c r="Q213" s="2">
        <v>1524</v>
      </c>
      <c r="R213" s="2">
        <v>2778</v>
      </c>
      <c r="S213" s="2">
        <v>4302</v>
      </c>
    </row>
    <row r="214" spans="1:19" x14ac:dyDescent="0.3">
      <c r="A214" s="2">
        <v>213</v>
      </c>
      <c r="B214" s="1">
        <v>43108</v>
      </c>
      <c r="C214" t="s">
        <v>905</v>
      </c>
      <c r="D214">
        <v>2018</v>
      </c>
      <c r="E214" t="s">
        <v>927</v>
      </c>
      <c r="F214" t="s">
        <v>908</v>
      </c>
      <c r="G214" t="s">
        <v>910</v>
      </c>
      <c r="H214" t="s">
        <v>909</v>
      </c>
      <c r="I214" t="s">
        <v>917</v>
      </c>
      <c r="J214" s="2">
        <v>31.638347</v>
      </c>
      <c r="K214" s="2">
        <v>35.1646</v>
      </c>
      <c r="L214" s="2" t="str">
        <f t="shared" si="9"/>
        <v>35–40°C</v>
      </c>
      <c r="M214" s="3">
        <v>55.083300000000001</v>
      </c>
      <c r="N214" s="3" t="str">
        <f t="shared" si="10"/>
        <v>40–60%</v>
      </c>
      <c r="O214" s="2">
        <v>10.500038999999999</v>
      </c>
      <c r="P214" s="2" t="str">
        <f t="shared" si="11"/>
        <v>10–15 km/h</v>
      </c>
      <c r="Q214" s="2">
        <v>729</v>
      </c>
      <c r="R214" s="2">
        <v>3537</v>
      </c>
      <c r="S214" s="2">
        <v>4266</v>
      </c>
    </row>
    <row r="215" spans="1:19" x14ac:dyDescent="0.3">
      <c r="A215" s="2">
        <v>214</v>
      </c>
      <c r="B215" s="1">
        <v>43139</v>
      </c>
      <c r="C215" t="s">
        <v>905</v>
      </c>
      <c r="D215">
        <v>2018</v>
      </c>
      <c r="E215" t="s">
        <v>927</v>
      </c>
      <c r="F215" t="s">
        <v>908</v>
      </c>
      <c r="G215" t="s">
        <v>911</v>
      </c>
      <c r="H215" t="s">
        <v>909</v>
      </c>
      <c r="I215" t="s">
        <v>917</v>
      </c>
      <c r="J215" s="2">
        <v>32.116652999999999</v>
      </c>
      <c r="K215" s="2">
        <v>35.353549999999998</v>
      </c>
      <c r="L215" s="2" t="str">
        <f t="shared" si="9"/>
        <v>35–40°C</v>
      </c>
      <c r="M215" s="3">
        <v>49.125</v>
      </c>
      <c r="N215" s="3" t="str">
        <f t="shared" si="10"/>
        <v>40–60%</v>
      </c>
      <c r="O215" s="2">
        <v>13.79195</v>
      </c>
      <c r="P215" s="2" t="str">
        <f t="shared" si="11"/>
        <v>10–15 km/h</v>
      </c>
      <c r="Q215" s="2">
        <v>801</v>
      </c>
      <c r="R215" s="2">
        <v>4044</v>
      </c>
      <c r="S215" s="2">
        <v>4845</v>
      </c>
    </row>
    <row r="216" spans="1:19" x14ac:dyDescent="0.3">
      <c r="A216" s="2">
        <v>215</v>
      </c>
      <c r="B216" s="1">
        <v>43167</v>
      </c>
      <c r="C216" t="s">
        <v>905</v>
      </c>
      <c r="D216">
        <v>2018</v>
      </c>
      <c r="E216" t="s">
        <v>927</v>
      </c>
      <c r="F216" t="s">
        <v>908</v>
      </c>
      <c r="G216" t="s">
        <v>912</v>
      </c>
      <c r="H216" t="s">
        <v>909</v>
      </c>
      <c r="I216" t="s">
        <v>918</v>
      </c>
      <c r="J216" s="2">
        <v>29.998346999999999</v>
      </c>
      <c r="K216" s="2">
        <v>33.996850000000002</v>
      </c>
      <c r="L216" s="2" t="str">
        <f t="shared" si="9"/>
        <v>30–35°C</v>
      </c>
      <c r="M216" s="3">
        <v>65.75</v>
      </c>
      <c r="N216" s="3" t="str">
        <f t="shared" si="10"/>
        <v>60–80%</v>
      </c>
      <c r="O216" s="2">
        <v>9.0840610000000002</v>
      </c>
      <c r="P216" s="2" t="str">
        <f t="shared" si="11"/>
        <v>5–10 km/h</v>
      </c>
      <c r="Q216" s="2">
        <v>467</v>
      </c>
      <c r="R216" s="2">
        <v>3107</v>
      </c>
      <c r="S216" s="2">
        <v>3574</v>
      </c>
    </row>
    <row r="217" spans="1:19" x14ac:dyDescent="0.3">
      <c r="A217" s="2">
        <v>216</v>
      </c>
      <c r="B217" s="1">
        <v>43198</v>
      </c>
      <c r="C217" t="s">
        <v>905</v>
      </c>
      <c r="D217">
        <v>2018</v>
      </c>
      <c r="E217" t="s">
        <v>927</v>
      </c>
      <c r="F217" t="s">
        <v>908</v>
      </c>
      <c r="G217" t="s">
        <v>913</v>
      </c>
      <c r="H217" t="s">
        <v>909</v>
      </c>
      <c r="I217" t="s">
        <v>918</v>
      </c>
      <c r="J217" s="2">
        <v>29.11</v>
      </c>
      <c r="K217" s="2">
        <v>33.239400000000003</v>
      </c>
      <c r="L217" s="2" t="str">
        <f t="shared" si="9"/>
        <v>30–35°C</v>
      </c>
      <c r="M217" s="3">
        <v>75.75</v>
      </c>
      <c r="N217" s="3" t="str">
        <f t="shared" si="10"/>
        <v>60–80%</v>
      </c>
      <c r="O217" s="2">
        <v>13.20905</v>
      </c>
      <c r="P217" s="2" t="str">
        <f t="shared" si="11"/>
        <v>10–15 km/h</v>
      </c>
      <c r="Q217" s="2">
        <v>799</v>
      </c>
      <c r="R217" s="2">
        <v>3777</v>
      </c>
      <c r="S217" s="2">
        <v>4576</v>
      </c>
    </row>
    <row r="218" spans="1:19" x14ac:dyDescent="0.3">
      <c r="A218" s="2">
        <v>217</v>
      </c>
      <c r="B218" s="1">
        <v>43228</v>
      </c>
      <c r="C218" t="s">
        <v>905</v>
      </c>
      <c r="D218">
        <v>2018</v>
      </c>
      <c r="E218" t="s">
        <v>927</v>
      </c>
      <c r="F218" t="s">
        <v>908</v>
      </c>
      <c r="G218" t="s">
        <v>914</v>
      </c>
      <c r="H218" t="s">
        <v>909</v>
      </c>
      <c r="I218" t="s">
        <v>917</v>
      </c>
      <c r="J218" s="2">
        <v>29.144152999999999</v>
      </c>
      <c r="K218" s="2">
        <v>32.82835</v>
      </c>
      <c r="L218" s="2" t="str">
        <f t="shared" si="9"/>
        <v>30–35°C</v>
      </c>
      <c r="M218" s="3">
        <v>63.083300000000001</v>
      </c>
      <c r="N218" s="3" t="str">
        <f t="shared" si="10"/>
        <v>60–80%</v>
      </c>
      <c r="O218" s="2">
        <v>12.374632</v>
      </c>
      <c r="P218" s="2" t="str">
        <f t="shared" si="11"/>
        <v>10–15 km/h</v>
      </c>
      <c r="Q218" s="2">
        <v>1023</v>
      </c>
      <c r="R218" s="2">
        <v>3843</v>
      </c>
      <c r="S218" s="2">
        <v>4866</v>
      </c>
    </row>
    <row r="219" spans="1:19" x14ac:dyDescent="0.3">
      <c r="A219" s="2">
        <v>218</v>
      </c>
      <c r="B219" s="1">
        <v>43259</v>
      </c>
      <c r="C219" t="s">
        <v>905</v>
      </c>
      <c r="D219">
        <v>2018</v>
      </c>
      <c r="E219" t="s">
        <v>927</v>
      </c>
      <c r="F219" t="s">
        <v>908</v>
      </c>
      <c r="G219" t="s">
        <v>915</v>
      </c>
      <c r="H219" t="s">
        <v>908</v>
      </c>
      <c r="I219" t="s">
        <v>918</v>
      </c>
      <c r="J219" s="2">
        <v>29.383347000000001</v>
      </c>
      <c r="K219" s="2">
        <v>33.807699999999997</v>
      </c>
      <c r="L219" s="2" t="str">
        <f t="shared" si="9"/>
        <v>30–35°C</v>
      </c>
      <c r="M219" s="3">
        <v>75.5</v>
      </c>
      <c r="N219" s="3" t="str">
        <f t="shared" si="10"/>
        <v>60–80%</v>
      </c>
      <c r="O219" s="2">
        <v>15.29275</v>
      </c>
      <c r="P219" s="2" t="str">
        <f t="shared" si="11"/>
        <v>15–20 km/h</v>
      </c>
      <c r="Q219" s="2">
        <v>1521</v>
      </c>
      <c r="R219" s="2">
        <v>2773</v>
      </c>
      <c r="S219" s="2">
        <v>4294</v>
      </c>
    </row>
    <row r="220" spans="1:19" x14ac:dyDescent="0.3">
      <c r="A220" s="2">
        <v>219</v>
      </c>
      <c r="B220" s="1">
        <v>43289</v>
      </c>
      <c r="C220" t="s">
        <v>905</v>
      </c>
      <c r="D220">
        <v>2018</v>
      </c>
      <c r="E220" t="s">
        <v>927</v>
      </c>
      <c r="F220" t="s">
        <v>908</v>
      </c>
      <c r="G220" t="s">
        <v>916</v>
      </c>
      <c r="H220" t="s">
        <v>908</v>
      </c>
      <c r="I220" t="s">
        <v>917</v>
      </c>
      <c r="J220" s="2">
        <v>30.442499999999999</v>
      </c>
      <c r="K220" s="2">
        <v>35.764600000000002</v>
      </c>
      <c r="L220" s="2" t="str">
        <f t="shared" si="9"/>
        <v>35–40°C</v>
      </c>
      <c r="M220" s="3">
        <v>75.291700000000006</v>
      </c>
      <c r="N220" s="3" t="str">
        <f t="shared" si="10"/>
        <v>60–80%</v>
      </c>
      <c r="O220" s="2">
        <v>13.499629000000001</v>
      </c>
      <c r="P220" s="2" t="str">
        <f t="shared" si="11"/>
        <v>10–15 km/h</v>
      </c>
      <c r="Q220" s="2">
        <v>1298</v>
      </c>
      <c r="R220" s="2">
        <v>2487</v>
      </c>
      <c r="S220" s="2">
        <v>3785</v>
      </c>
    </row>
    <row r="221" spans="1:19" x14ac:dyDescent="0.3">
      <c r="A221" s="2">
        <v>220</v>
      </c>
      <c r="B221" s="1">
        <v>43320</v>
      </c>
      <c r="C221" t="s">
        <v>905</v>
      </c>
      <c r="D221">
        <v>2018</v>
      </c>
      <c r="E221" t="s">
        <v>927</v>
      </c>
      <c r="F221" t="s">
        <v>908</v>
      </c>
      <c r="G221" t="s">
        <v>910</v>
      </c>
      <c r="H221" t="s">
        <v>909</v>
      </c>
      <c r="I221" t="s">
        <v>917</v>
      </c>
      <c r="J221" s="2">
        <v>31.364999999999998</v>
      </c>
      <c r="K221" s="2">
        <v>35.164149999999999</v>
      </c>
      <c r="L221" s="2" t="str">
        <f t="shared" si="9"/>
        <v>35–40°C</v>
      </c>
      <c r="M221" s="3">
        <v>59.208300000000001</v>
      </c>
      <c r="N221" s="3" t="str">
        <f t="shared" si="10"/>
        <v>40–60%</v>
      </c>
      <c r="O221" s="2">
        <v>12.875724999999999</v>
      </c>
      <c r="P221" s="2" t="str">
        <f t="shared" si="11"/>
        <v>10–15 km/h</v>
      </c>
      <c r="Q221" s="2">
        <v>846</v>
      </c>
      <c r="R221" s="2">
        <v>3480</v>
      </c>
      <c r="S221" s="2">
        <v>4326</v>
      </c>
    </row>
    <row r="222" spans="1:19" x14ac:dyDescent="0.3">
      <c r="A222" s="2">
        <v>221</v>
      </c>
      <c r="B222" s="1">
        <v>43351</v>
      </c>
      <c r="C222" t="s">
        <v>905</v>
      </c>
      <c r="D222">
        <v>2018</v>
      </c>
      <c r="E222" t="s">
        <v>927</v>
      </c>
      <c r="F222" t="s">
        <v>908</v>
      </c>
      <c r="G222" t="s">
        <v>911</v>
      </c>
      <c r="H222" t="s">
        <v>909</v>
      </c>
      <c r="I222" t="s">
        <v>917</v>
      </c>
      <c r="J222" s="2">
        <v>31.774999999999999</v>
      </c>
      <c r="K222" s="2">
        <v>36.206049999999998</v>
      </c>
      <c r="L222" s="2" t="str">
        <f t="shared" si="9"/>
        <v>35–40°C</v>
      </c>
      <c r="M222" s="3">
        <v>57.041699999999999</v>
      </c>
      <c r="N222" s="3" t="str">
        <f t="shared" si="10"/>
        <v>40–60%</v>
      </c>
      <c r="O222" s="2">
        <v>10.125107</v>
      </c>
      <c r="P222" s="2" t="str">
        <f t="shared" si="11"/>
        <v>10–15 km/h</v>
      </c>
      <c r="Q222" s="2">
        <v>907</v>
      </c>
      <c r="R222" s="2">
        <v>3695</v>
      </c>
      <c r="S222" s="2">
        <v>4602</v>
      </c>
    </row>
    <row r="223" spans="1:19" x14ac:dyDescent="0.3">
      <c r="A223" s="2">
        <v>222</v>
      </c>
      <c r="B223" s="1">
        <v>43381</v>
      </c>
      <c r="C223" t="s">
        <v>905</v>
      </c>
      <c r="D223">
        <v>2018</v>
      </c>
      <c r="E223" t="s">
        <v>927</v>
      </c>
      <c r="F223" t="s">
        <v>908</v>
      </c>
      <c r="G223" t="s">
        <v>912</v>
      </c>
      <c r="H223" t="s">
        <v>909</v>
      </c>
      <c r="I223" t="s">
        <v>917</v>
      </c>
      <c r="J223" s="2">
        <v>31.433347000000001</v>
      </c>
      <c r="K223" s="2">
        <v>34.24915</v>
      </c>
      <c r="L223" s="2" t="str">
        <f t="shared" si="9"/>
        <v>30–35°C</v>
      </c>
      <c r="M223" s="3">
        <v>42.416699999999999</v>
      </c>
      <c r="N223" s="3" t="str">
        <f t="shared" si="10"/>
        <v>40–60%</v>
      </c>
      <c r="O223" s="2">
        <v>13.417286000000001</v>
      </c>
      <c r="P223" s="2" t="str">
        <f t="shared" si="11"/>
        <v>10–15 km/h</v>
      </c>
      <c r="Q223" s="2">
        <v>884</v>
      </c>
      <c r="R223" s="2">
        <v>3896</v>
      </c>
      <c r="S223" s="2">
        <v>4780</v>
      </c>
    </row>
    <row r="224" spans="1:19" x14ac:dyDescent="0.3">
      <c r="A224" s="2">
        <v>223</v>
      </c>
      <c r="B224" s="1">
        <v>43412</v>
      </c>
      <c r="C224" t="s">
        <v>905</v>
      </c>
      <c r="D224">
        <v>2018</v>
      </c>
      <c r="E224" t="s">
        <v>927</v>
      </c>
      <c r="F224" t="s">
        <v>908</v>
      </c>
      <c r="G224" t="s">
        <v>913</v>
      </c>
      <c r="H224" t="s">
        <v>909</v>
      </c>
      <c r="I224" t="s">
        <v>917</v>
      </c>
      <c r="J224" s="2">
        <v>29.4175</v>
      </c>
      <c r="K224" s="2">
        <v>32.576050000000002</v>
      </c>
      <c r="L224" s="2" t="str">
        <f t="shared" si="9"/>
        <v>30–35°C</v>
      </c>
      <c r="M224" s="3">
        <v>42.375</v>
      </c>
      <c r="N224" s="3" t="str">
        <f t="shared" si="10"/>
        <v>40–60%</v>
      </c>
      <c r="O224" s="2">
        <v>11.041332000000001</v>
      </c>
      <c r="P224" s="2" t="str">
        <f t="shared" si="11"/>
        <v>10–15 km/h</v>
      </c>
      <c r="Q224" s="2">
        <v>812</v>
      </c>
      <c r="R224" s="2">
        <v>3980</v>
      </c>
      <c r="S224" s="2">
        <v>4792</v>
      </c>
    </row>
    <row r="225" spans="1:19" x14ac:dyDescent="0.3">
      <c r="A225" s="2">
        <v>224</v>
      </c>
      <c r="B225" s="1">
        <v>43442</v>
      </c>
      <c r="C225" t="s">
        <v>905</v>
      </c>
      <c r="D225">
        <v>2018</v>
      </c>
      <c r="E225" t="s">
        <v>927</v>
      </c>
      <c r="F225" t="s">
        <v>908</v>
      </c>
      <c r="G225" t="s">
        <v>914</v>
      </c>
      <c r="H225" t="s">
        <v>909</v>
      </c>
      <c r="I225" t="s">
        <v>917</v>
      </c>
      <c r="J225" s="2">
        <v>29.041653</v>
      </c>
      <c r="K225" s="2">
        <v>32.702100000000002</v>
      </c>
      <c r="L225" s="2" t="str">
        <f t="shared" si="9"/>
        <v>30–35°C</v>
      </c>
      <c r="M225" s="3">
        <v>41.5</v>
      </c>
      <c r="N225" s="3" t="str">
        <f t="shared" si="10"/>
        <v>40–60%</v>
      </c>
      <c r="O225" s="2">
        <v>8.4166070000000008</v>
      </c>
      <c r="P225" s="2" t="str">
        <f t="shared" si="11"/>
        <v>5–10 km/h</v>
      </c>
      <c r="Q225" s="2">
        <v>1051</v>
      </c>
      <c r="R225" s="2">
        <v>3854</v>
      </c>
      <c r="S225" s="2">
        <v>4905</v>
      </c>
    </row>
    <row r="226" spans="1:19" x14ac:dyDescent="0.3">
      <c r="A226" s="2">
        <v>225</v>
      </c>
      <c r="B226" s="1" t="s">
        <v>589</v>
      </c>
      <c r="C226" t="s">
        <v>905</v>
      </c>
      <c r="D226">
        <v>2018</v>
      </c>
      <c r="E226" t="s">
        <v>927</v>
      </c>
      <c r="F226" t="s">
        <v>908</v>
      </c>
      <c r="G226" t="s">
        <v>915</v>
      </c>
      <c r="H226" t="s">
        <v>908</v>
      </c>
      <c r="I226" t="s">
        <v>918</v>
      </c>
      <c r="J226" s="2">
        <v>28.119153000000001</v>
      </c>
      <c r="K226" s="2">
        <v>32.292900000000003</v>
      </c>
      <c r="L226" s="2" t="str">
        <f t="shared" si="9"/>
        <v>30–35°C</v>
      </c>
      <c r="M226" s="3">
        <v>72.958299999999994</v>
      </c>
      <c r="N226" s="3" t="str">
        <f t="shared" si="10"/>
        <v>60–80%</v>
      </c>
      <c r="O226" s="2">
        <v>14.167418</v>
      </c>
      <c r="P226" s="2" t="str">
        <f t="shared" si="11"/>
        <v>10–15 km/h</v>
      </c>
      <c r="Q226" s="2">
        <v>1504</v>
      </c>
      <c r="R226" s="2">
        <v>2646</v>
      </c>
      <c r="S226" s="2">
        <v>4150</v>
      </c>
    </row>
    <row r="227" spans="1:19" x14ac:dyDescent="0.3">
      <c r="A227" s="2">
        <v>226</v>
      </c>
      <c r="B227" s="1" t="s">
        <v>590</v>
      </c>
      <c r="C227" t="s">
        <v>905</v>
      </c>
      <c r="D227">
        <v>2018</v>
      </c>
      <c r="E227" t="s">
        <v>927</v>
      </c>
      <c r="F227" t="s">
        <v>908</v>
      </c>
      <c r="G227" t="s">
        <v>916</v>
      </c>
      <c r="H227" t="s">
        <v>908</v>
      </c>
      <c r="I227" t="s">
        <v>918</v>
      </c>
      <c r="J227" s="2">
        <v>27.743347</v>
      </c>
      <c r="K227" s="2">
        <v>31.2194</v>
      </c>
      <c r="L227" s="2" t="str">
        <f t="shared" si="9"/>
        <v>30–35°C</v>
      </c>
      <c r="M227" s="3">
        <v>81.75</v>
      </c>
      <c r="N227" s="3" t="str">
        <f t="shared" si="10"/>
        <v>80–100%</v>
      </c>
      <c r="O227" s="2">
        <v>14.916411</v>
      </c>
      <c r="P227" s="2" t="str">
        <f t="shared" si="11"/>
        <v>10–15 km/h</v>
      </c>
      <c r="Q227" s="2">
        <v>1338</v>
      </c>
      <c r="R227" s="2">
        <v>2482</v>
      </c>
      <c r="S227" s="2">
        <v>3820</v>
      </c>
    </row>
    <row r="228" spans="1:19" x14ac:dyDescent="0.3">
      <c r="A228" s="2">
        <v>227</v>
      </c>
      <c r="B228" s="1" t="s">
        <v>591</v>
      </c>
      <c r="C228" t="s">
        <v>905</v>
      </c>
      <c r="D228">
        <v>2018</v>
      </c>
      <c r="E228" t="s">
        <v>927</v>
      </c>
      <c r="F228" t="s">
        <v>908</v>
      </c>
      <c r="G228" t="s">
        <v>910</v>
      </c>
      <c r="H228" t="s">
        <v>909</v>
      </c>
      <c r="I228" t="s">
        <v>917</v>
      </c>
      <c r="J228" s="2">
        <v>27.299153</v>
      </c>
      <c r="K228" s="2">
        <v>30.808350000000001</v>
      </c>
      <c r="L228" s="2" t="str">
        <f t="shared" si="9"/>
        <v>30–35°C</v>
      </c>
      <c r="M228" s="3">
        <v>71.208299999999994</v>
      </c>
      <c r="N228" s="3" t="str">
        <f t="shared" si="10"/>
        <v>60–80%</v>
      </c>
      <c r="O228" s="2">
        <v>13.999917999999999</v>
      </c>
      <c r="P228" s="2" t="str">
        <f t="shared" si="11"/>
        <v>10–15 km/h</v>
      </c>
      <c r="Q228" s="2">
        <v>775</v>
      </c>
      <c r="R228" s="2">
        <v>3563</v>
      </c>
      <c r="S228" s="2">
        <v>4338</v>
      </c>
    </row>
    <row r="229" spans="1:19" x14ac:dyDescent="0.3">
      <c r="A229" s="2">
        <v>228</v>
      </c>
      <c r="B229" s="1" t="s">
        <v>592</v>
      </c>
      <c r="C229" t="s">
        <v>905</v>
      </c>
      <c r="D229">
        <v>2018</v>
      </c>
      <c r="E229" t="s">
        <v>927</v>
      </c>
      <c r="F229" t="s">
        <v>908</v>
      </c>
      <c r="G229" t="s">
        <v>911</v>
      </c>
      <c r="H229" t="s">
        <v>909</v>
      </c>
      <c r="I229" t="s">
        <v>917</v>
      </c>
      <c r="J229" s="2">
        <v>28.734152999999999</v>
      </c>
      <c r="K229" s="2">
        <v>32.291849999999997</v>
      </c>
      <c r="L229" s="2" t="str">
        <f t="shared" si="9"/>
        <v>30–35°C</v>
      </c>
      <c r="M229" s="3">
        <v>57.833300000000001</v>
      </c>
      <c r="N229" s="3" t="str">
        <f t="shared" si="10"/>
        <v>40–60%</v>
      </c>
      <c r="O229" s="2">
        <v>15.834042999999999</v>
      </c>
      <c r="P229" s="2" t="str">
        <f t="shared" si="11"/>
        <v>15–20 km/h</v>
      </c>
      <c r="Q229" s="2">
        <v>721</v>
      </c>
      <c r="R229" s="2">
        <v>4004</v>
      </c>
      <c r="S229" s="2">
        <v>4725</v>
      </c>
    </row>
    <row r="230" spans="1:19" x14ac:dyDescent="0.3">
      <c r="A230" s="2">
        <v>229</v>
      </c>
      <c r="B230" s="1" t="s">
        <v>593</v>
      </c>
      <c r="C230" t="s">
        <v>905</v>
      </c>
      <c r="D230">
        <v>2018</v>
      </c>
      <c r="E230" t="s">
        <v>927</v>
      </c>
      <c r="F230" t="s">
        <v>908</v>
      </c>
      <c r="G230" t="s">
        <v>912</v>
      </c>
      <c r="H230" t="s">
        <v>909</v>
      </c>
      <c r="I230" t="s">
        <v>917</v>
      </c>
      <c r="J230" s="2">
        <v>29.656652999999999</v>
      </c>
      <c r="K230" s="2">
        <v>33.333550000000002</v>
      </c>
      <c r="L230" s="2" t="str">
        <f t="shared" si="9"/>
        <v>30–35°C</v>
      </c>
      <c r="M230" s="3">
        <v>57.541699999999999</v>
      </c>
      <c r="N230" s="3" t="str">
        <f t="shared" si="10"/>
        <v>40–60%</v>
      </c>
      <c r="O230" s="2">
        <v>9.6256889999999995</v>
      </c>
      <c r="P230" s="2" t="str">
        <f t="shared" si="11"/>
        <v>5–10 km/h</v>
      </c>
      <c r="Q230" s="2">
        <v>668</v>
      </c>
      <c r="R230" s="2">
        <v>4026</v>
      </c>
      <c r="S230" s="2">
        <v>4694</v>
      </c>
    </row>
    <row r="231" spans="1:19" x14ac:dyDescent="0.3">
      <c r="A231" s="2">
        <v>230</v>
      </c>
      <c r="B231" s="1" t="s">
        <v>594</v>
      </c>
      <c r="C231" t="s">
        <v>905</v>
      </c>
      <c r="D231">
        <v>2018</v>
      </c>
      <c r="E231" t="s">
        <v>927</v>
      </c>
      <c r="F231" t="s">
        <v>908</v>
      </c>
      <c r="G231" t="s">
        <v>913</v>
      </c>
      <c r="H231" t="s">
        <v>909</v>
      </c>
      <c r="I231" t="s">
        <v>917</v>
      </c>
      <c r="J231" s="2">
        <v>29.178346999999999</v>
      </c>
      <c r="K231" s="2">
        <v>33.112900000000003</v>
      </c>
      <c r="L231" s="2" t="str">
        <f t="shared" si="9"/>
        <v>30–35°C</v>
      </c>
      <c r="M231" s="3">
        <v>65.458299999999994</v>
      </c>
      <c r="N231" s="3" t="str">
        <f t="shared" si="10"/>
        <v>60–80%</v>
      </c>
      <c r="O231" s="2">
        <v>15.624936</v>
      </c>
      <c r="P231" s="2" t="str">
        <f t="shared" si="11"/>
        <v>15–20 km/h</v>
      </c>
      <c r="Q231" s="2">
        <v>639</v>
      </c>
      <c r="R231" s="2">
        <v>3166</v>
      </c>
      <c r="S231" s="2">
        <v>3805</v>
      </c>
    </row>
    <row r="232" spans="1:19" x14ac:dyDescent="0.3">
      <c r="A232" s="2">
        <v>231</v>
      </c>
      <c r="B232" s="1" t="s">
        <v>595</v>
      </c>
      <c r="C232" t="s">
        <v>905</v>
      </c>
      <c r="D232">
        <v>2018</v>
      </c>
      <c r="E232" t="s">
        <v>927</v>
      </c>
      <c r="F232" t="s">
        <v>908</v>
      </c>
      <c r="G232" t="s">
        <v>914</v>
      </c>
      <c r="H232" t="s">
        <v>909</v>
      </c>
      <c r="I232" t="s">
        <v>918</v>
      </c>
      <c r="J232" s="2">
        <v>28.085000000000001</v>
      </c>
      <c r="K232" s="2">
        <v>31.661049999999999</v>
      </c>
      <c r="L232" s="2" t="str">
        <f t="shared" si="9"/>
        <v>30–35°C</v>
      </c>
      <c r="M232" s="3">
        <v>72.291700000000006</v>
      </c>
      <c r="N232" s="3" t="str">
        <f t="shared" si="10"/>
        <v>60–80%</v>
      </c>
      <c r="O232" s="2">
        <v>9.3336360000000003</v>
      </c>
      <c r="P232" s="2" t="str">
        <f t="shared" si="11"/>
        <v>5–10 km/h</v>
      </c>
      <c r="Q232" s="2">
        <v>797</v>
      </c>
      <c r="R232" s="2">
        <v>3356</v>
      </c>
      <c r="S232" s="2">
        <v>4153</v>
      </c>
    </row>
    <row r="233" spans="1:19" x14ac:dyDescent="0.3">
      <c r="A233" s="2">
        <v>232</v>
      </c>
      <c r="B233" s="1" t="s">
        <v>596</v>
      </c>
      <c r="C233" t="s">
        <v>905</v>
      </c>
      <c r="D233">
        <v>2018</v>
      </c>
      <c r="E233" t="s">
        <v>927</v>
      </c>
      <c r="F233" t="s">
        <v>908</v>
      </c>
      <c r="G233" t="s">
        <v>915</v>
      </c>
      <c r="H233" t="s">
        <v>908</v>
      </c>
      <c r="I233" t="s">
        <v>917</v>
      </c>
      <c r="J233" s="2">
        <v>28.5975</v>
      </c>
      <c r="K233" s="2">
        <v>32.449800000000003</v>
      </c>
      <c r="L233" s="2" t="str">
        <f t="shared" si="9"/>
        <v>30–35°C</v>
      </c>
      <c r="M233" s="3">
        <v>67.416700000000006</v>
      </c>
      <c r="N233" s="3" t="str">
        <f t="shared" si="10"/>
        <v>60–80%</v>
      </c>
      <c r="O233" s="2">
        <v>6.9992890000000001</v>
      </c>
      <c r="P233" s="2" t="str">
        <f t="shared" si="11"/>
        <v>5–10 km/h</v>
      </c>
      <c r="Q233" s="2">
        <v>1914</v>
      </c>
      <c r="R233" s="2">
        <v>3277</v>
      </c>
      <c r="S233" s="2">
        <v>5191</v>
      </c>
    </row>
    <row r="234" spans="1:19" x14ac:dyDescent="0.3">
      <c r="A234" s="2">
        <v>233</v>
      </c>
      <c r="B234" s="1" t="s">
        <v>597</v>
      </c>
      <c r="C234" t="s">
        <v>905</v>
      </c>
      <c r="D234">
        <v>2018</v>
      </c>
      <c r="E234" t="s">
        <v>927</v>
      </c>
      <c r="F234" t="s">
        <v>908</v>
      </c>
      <c r="G234" t="s">
        <v>916</v>
      </c>
      <c r="H234" t="s">
        <v>908</v>
      </c>
      <c r="I234" t="s">
        <v>917</v>
      </c>
      <c r="J234" s="2">
        <v>29.144152999999999</v>
      </c>
      <c r="K234" s="2">
        <v>33.776249999999997</v>
      </c>
      <c r="L234" s="2" t="str">
        <f t="shared" si="9"/>
        <v>30–35°C</v>
      </c>
      <c r="M234" s="3">
        <v>77</v>
      </c>
      <c r="N234" s="3" t="str">
        <f t="shared" si="10"/>
        <v>60–80%</v>
      </c>
      <c r="O234" s="2">
        <v>16.666518</v>
      </c>
      <c r="P234" s="2" t="str">
        <f t="shared" si="11"/>
        <v>15–20 km/h</v>
      </c>
      <c r="Q234" s="2">
        <v>1249</v>
      </c>
      <c r="R234" s="2">
        <v>2624</v>
      </c>
      <c r="S234" s="2">
        <v>3873</v>
      </c>
    </row>
    <row r="235" spans="1:19" x14ac:dyDescent="0.3">
      <c r="A235" s="2">
        <v>234</v>
      </c>
      <c r="B235" s="1" t="s">
        <v>598</v>
      </c>
      <c r="C235" t="s">
        <v>905</v>
      </c>
      <c r="D235">
        <v>2018</v>
      </c>
      <c r="E235" t="s">
        <v>927</v>
      </c>
      <c r="F235" t="s">
        <v>908</v>
      </c>
      <c r="G235" t="s">
        <v>910</v>
      </c>
      <c r="H235" t="s">
        <v>909</v>
      </c>
      <c r="I235" t="s">
        <v>917</v>
      </c>
      <c r="J235" s="2">
        <v>28.358346999999998</v>
      </c>
      <c r="K235" s="2">
        <v>31.912700000000001</v>
      </c>
      <c r="L235" s="2" t="str">
        <f t="shared" si="9"/>
        <v>30–35°C</v>
      </c>
      <c r="M235" s="3">
        <v>47</v>
      </c>
      <c r="N235" s="3" t="str">
        <f t="shared" si="10"/>
        <v>40–60%</v>
      </c>
      <c r="O235" s="2">
        <v>18.542249999999999</v>
      </c>
      <c r="P235" s="2" t="str">
        <f t="shared" si="11"/>
        <v>15–20 km/h</v>
      </c>
      <c r="Q235" s="2">
        <v>833</v>
      </c>
      <c r="R235" s="2">
        <v>3925</v>
      </c>
      <c r="S235" s="2">
        <v>4758</v>
      </c>
    </row>
    <row r="236" spans="1:19" x14ac:dyDescent="0.3">
      <c r="A236" s="2">
        <v>235</v>
      </c>
      <c r="B236" s="1" t="s">
        <v>599</v>
      </c>
      <c r="C236" t="s">
        <v>905</v>
      </c>
      <c r="D236">
        <v>2018</v>
      </c>
      <c r="E236" t="s">
        <v>927</v>
      </c>
      <c r="F236" t="s">
        <v>908</v>
      </c>
      <c r="G236" t="s">
        <v>911</v>
      </c>
      <c r="H236" t="s">
        <v>909</v>
      </c>
      <c r="I236" t="s">
        <v>917</v>
      </c>
      <c r="J236" s="2">
        <v>26.274152999999998</v>
      </c>
      <c r="K236" s="2">
        <v>30.303349999999998</v>
      </c>
      <c r="L236" s="2" t="str">
        <f t="shared" si="9"/>
        <v>30–35°C</v>
      </c>
      <c r="M236" s="3">
        <v>45.541699999999999</v>
      </c>
      <c r="N236" s="3" t="str">
        <f t="shared" si="10"/>
        <v>40–60%</v>
      </c>
      <c r="O236" s="2">
        <v>9.8331210000000002</v>
      </c>
      <c r="P236" s="2" t="str">
        <f t="shared" si="11"/>
        <v>5–10 km/h</v>
      </c>
      <c r="Q236" s="2">
        <v>1281</v>
      </c>
      <c r="R236" s="2">
        <v>4614</v>
      </c>
      <c r="S236" s="2">
        <v>5895</v>
      </c>
    </row>
    <row r="237" spans="1:19" x14ac:dyDescent="0.3">
      <c r="A237" s="2">
        <v>236</v>
      </c>
      <c r="B237" s="1" t="s">
        <v>600</v>
      </c>
      <c r="C237" t="s">
        <v>905</v>
      </c>
      <c r="D237">
        <v>2018</v>
      </c>
      <c r="E237" t="s">
        <v>927</v>
      </c>
      <c r="F237" t="s">
        <v>908</v>
      </c>
      <c r="G237" t="s">
        <v>912</v>
      </c>
      <c r="H237" t="s">
        <v>909</v>
      </c>
      <c r="I237" t="s">
        <v>917</v>
      </c>
      <c r="J237" s="2">
        <v>27.606653000000001</v>
      </c>
      <c r="K237" s="2">
        <v>31.534600000000001</v>
      </c>
      <c r="L237" s="2" t="str">
        <f t="shared" si="9"/>
        <v>30–35°C</v>
      </c>
      <c r="M237" s="3">
        <v>60.5</v>
      </c>
      <c r="N237" s="3" t="str">
        <f t="shared" si="10"/>
        <v>60–80%</v>
      </c>
      <c r="O237" s="2">
        <v>16.958235999999999</v>
      </c>
      <c r="P237" s="2" t="str">
        <f t="shared" si="11"/>
        <v>15–20 km/h</v>
      </c>
      <c r="Q237" s="2">
        <v>949</v>
      </c>
      <c r="R237" s="2">
        <v>4181</v>
      </c>
      <c r="S237" s="2">
        <v>5130</v>
      </c>
    </row>
    <row r="238" spans="1:19" x14ac:dyDescent="0.3">
      <c r="A238" s="2">
        <v>237</v>
      </c>
      <c r="B238" s="1" t="s">
        <v>601</v>
      </c>
      <c r="C238" t="s">
        <v>905</v>
      </c>
      <c r="D238">
        <v>2018</v>
      </c>
      <c r="E238" t="s">
        <v>927</v>
      </c>
      <c r="F238" t="s">
        <v>908</v>
      </c>
      <c r="G238" t="s">
        <v>913</v>
      </c>
      <c r="H238" t="s">
        <v>909</v>
      </c>
      <c r="I238" t="s">
        <v>918</v>
      </c>
      <c r="J238" s="2">
        <v>28.050847000000001</v>
      </c>
      <c r="K238" s="2">
        <v>32.292700000000004</v>
      </c>
      <c r="L238" s="2" t="str">
        <f t="shared" si="9"/>
        <v>30–35°C</v>
      </c>
      <c r="M238" s="3">
        <v>77.166700000000006</v>
      </c>
      <c r="N238" s="3" t="str">
        <f t="shared" si="10"/>
        <v>60–80%</v>
      </c>
      <c r="O238" s="2">
        <v>14.125811000000001</v>
      </c>
      <c r="P238" s="2" t="str">
        <f t="shared" si="11"/>
        <v>10–15 km/h</v>
      </c>
      <c r="Q238" s="2">
        <v>435</v>
      </c>
      <c r="R238" s="2">
        <v>3107</v>
      </c>
      <c r="S238" s="2">
        <v>3542</v>
      </c>
    </row>
    <row r="239" spans="1:19" x14ac:dyDescent="0.3">
      <c r="A239" s="2">
        <v>238</v>
      </c>
      <c r="B239" s="1" t="s">
        <v>602</v>
      </c>
      <c r="C239" t="s">
        <v>905</v>
      </c>
      <c r="D239">
        <v>2018</v>
      </c>
      <c r="E239" t="s">
        <v>927</v>
      </c>
      <c r="F239" t="s">
        <v>908</v>
      </c>
      <c r="G239" t="s">
        <v>914</v>
      </c>
      <c r="H239" t="s">
        <v>909</v>
      </c>
      <c r="I239" t="s">
        <v>917</v>
      </c>
      <c r="J239" s="2">
        <v>28.7</v>
      </c>
      <c r="K239" s="2">
        <v>32.986649999999997</v>
      </c>
      <c r="L239" s="2" t="str">
        <f t="shared" si="9"/>
        <v>30–35°C</v>
      </c>
      <c r="M239" s="3">
        <v>76.125</v>
      </c>
      <c r="N239" s="3" t="str">
        <f t="shared" si="10"/>
        <v>60–80%</v>
      </c>
      <c r="O239" s="2">
        <v>5.6254875000000002</v>
      </c>
      <c r="P239" s="2" t="str">
        <f t="shared" si="11"/>
        <v>5–10 km/h</v>
      </c>
      <c r="Q239" s="2">
        <v>768</v>
      </c>
      <c r="R239" s="2">
        <v>3893</v>
      </c>
      <c r="S239" s="2">
        <v>4661</v>
      </c>
    </row>
    <row r="240" spans="1:19" x14ac:dyDescent="0.3">
      <c r="A240" s="2">
        <v>239</v>
      </c>
      <c r="B240" s="1" t="s">
        <v>603</v>
      </c>
      <c r="C240" t="s">
        <v>905</v>
      </c>
      <c r="D240">
        <v>2018</v>
      </c>
      <c r="E240" t="s">
        <v>927</v>
      </c>
      <c r="F240" t="s">
        <v>908</v>
      </c>
      <c r="G240" t="s">
        <v>915</v>
      </c>
      <c r="H240" t="s">
        <v>908</v>
      </c>
      <c r="I240" t="s">
        <v>918</v>
      </c>
      <c r="J240" s="2">
        <v>27.88</v>
      </c>
      <c r="K240" s="2">
        <v>31.777799999999999</v>
      </c>
      <c r="L240" s="2" t="str">
        <f t="shared" si="9"/>
        <v>30–35°C</v>
      </c>
      <c r="M240" s="3">
        <v>85</v>
      </c>
      <c r="N240" s="3" t="str">
        <f t="shared" si="10"/>
        <v>80–100%</v>
      </c>
      <c r="O240" s="2">
        <v>25.166339000000001</v>
      </c>
      <c r="P240" s="2" t="str">
        <f t="shared" si="11"/>
        <v>25–30 km/h</v>
      </c>
      <c r="Q240" s="2">
        <v>226</v>
      </c>
      <c r="R240" s="2">
        <v>889</v>
      </c>
      <c r="S240" s="2">
        <v>1115</v>
      </c>
    </row>
    <row r="241" spans="1:19" x14ac:dyDescent="0.3">
      <c r="A241" s="2">
        <v>240</v>
      </c>
      <c r="B241" s="1" t="s">
        <v>604</v>
      </c>
      <c r="C241" t="s">
        <v>905</v>
      </c>
      <c r="D241">
        <v>2018</v>
      </c>
      <c r="E241" t="s">
        <v>927</v>
      </c>
      <c r="F241" t="s">
        <v>908</v>
      </c>
      <c r="G241" t="s">
        <v>916</v>
      </c>
      <c r="H241" t="s">
        <v>908</v>
      </c>
      <c r="I241" t="s">
        <v>917</v>
      </c>
      <c r="J241" s="2">
        <v>28.989419000000002</v>
      </c>
      <c r="K241" s="2">
        <v>32.397950000000002</v>
      </c>
      <c r="L241" s="2" t="str">
        <f t="shared" si="9"/>
        <v>30–35°C</v>
      </c>
      <c r="M241" s="3">
        <v>56.176499999999997</v>
      </c>
      <c r="N241" s="3" t="str">
        <f t="shared" si="10"/>
        <v>40–60%</v>
      </c>
      <c r="O241" s="2">
        <v>20.412153</v>
      </c>
      <c r="P241" s="2" t="str">
        <f t="shared" si="11"/>
        <v>20–25 km/h</v>
      </c>
      <c r="Q241" s="2">
        <v>1415</v>
      </c>
      <c r="R241" s="2">
        <v>2919</v>
      </c>
      <c r="S241" s="2">
        <v>4334</v>
      </c>
    </row>
    <row r="242" spans="1:19" x14ac:dyDescent="0.3">
      <c r="A242" s="2">
        <v>241</v>
      </c>
      <c r="B242" s="1" t="s">
        <v>605</v>
      </c>
      <c r="C242" t="s">
        <v>905</v>
      </c>
      <c r="D242">
        <v>2018</v>
      </c>
      <c r="E242" t="s">
        <v>927</v>
      </c>
      <c r="F242" t="s">
        <v>908</v>
      </c>
      <c r="G242" t="s">
        <v>910</v>
      </c>
      <c r="H242" t="s">
        <v>909</v>
      </c>
      <c r="I242" t="s">
        <v>917</v>
      </c>
      <c r="J242" s="2">
        <v>26.103346999999999</v>
      </c>
      <c r="K242" s="2">
        <v>30.3979</v>
      </c>
      <c r="L242" s="2" t="str">
        <f t="shared" si="9"/>
        <v>30–35°C</v>
      </c>
      <c r="M242" s="3">
        <v>55.458300000000001</v>
      </c>
      <c r="N242" s="3" t="str">
        <f t="shared" si="10"/>
        <v>40–60%</v>
      </c>
      <c r="O242" s="2">
        <v>10.708275</v>
      </c>
      <c r="P242" s="2" t="str">
        <f t="shared" si="11"/>
        <v>10–15 km/h</v>
      </c>
      <c r="Q242" s="2">
        <v>729</v>
      </c>
      <c r="R242" s="2">
        <v>3905</v>
      </c>
      <c r="S242" s="2">
        <v>4634</v>
      </c>
    </row>
    <row r="243" spans="1:19" x14ac:dyDescent="0.3">
      <c r="A243" s="2">
        <v>242</v>
      </c>
      <c r="B243" s="1" t="s">
        <v>606</v>
      </c>
      <c r="C243" t="s">
        <v>905</v>
      </c>
      <c r="D243">
        <v>2018</v>
      </c>
      <c r="E243" t="s">
        <v>927</v>
      </c>
      <c r="F243" t="s">
        <v>908</v>
      </c>
      <c r="G243" t="s">
        <v>911</v>
      </c>
      <c r="H243" t="s">
        <v>909</v>
      </c>
      <c r="I243" t="s">
        <v>917</v>
      </c>
      <c r="J243" s="2">
        <v>26.205846999999999</v>
      </c>
      <c r="K243" s="2">
        <v>29.735199999999999</v>
      </c>
      <c r="L243" s="2" t="str">
        <f t="shared" si="9"/>
        <v>25–30°C</v>
      </c>
      <c r="M243" s="3">
        <v>54.833300000000001</v>
      </c>
      <c r="N243" s="3" t="str">
        <f t="shared" si="10"/>
        <v>40–60%</v>
      </c>
      <c r="O243" s="2">
        <v>8.3755360000000003</v>
      </c>
      <c r="P243" s="2" t="str">
        <f t="shared" si="11"/>
        <v>5–10 km/h</v>
      </c>
      <c r="Q243" s="2">
        <v>775</v>
      </c>
      <c r="R243" s="2">
        <v>4429</v>
      </c>
      <c r="S243" s="2">
        <v>5204</v>
      </c>
    </row>
    <row r="244" spans="1:19" x14ac:dyDescent="0.3">
      <c r="A244" s="2">
        <v>243</v>
      </c>
      <c r="B244" s="1" t="s">
        <v>607</v>
      </c>
      <c r="C244" t="s">
        <v>905</v>
      </c>
      <c r="D244">
        <v>2018</v>
      </c>
      <c r="E244" t="s">
        <v>927</v>
      </c>
      <c r="F244" t="s">
        <v>908</v>
      </c>
      <c r="G244" t="s">
        <v>912</v>
      </c>
      <c r="H244" t="s">
        <v>909</v>
      </c>
      <c r="I244" t="s">
        <v>917</v>
      </c>
      <c r="J244" s="2">
        <v>26.923347</v>
      </c>
      <c r="K244" s="2">
        <v>30.556049999999999</v>
      </c>
      <c r="L244" s="2" t="str">
        <f t="shared" si="9"/>
        <v>30–35°C</v>
      </c>
      <c r="M244" s="3">
        <v>59.791699999999999</v>
      </c>
      <c r="N244" s="3" t="str">
        <f t="shared" si="10"/>
        <v>40–60%</v>
      </c>
      <c r="O244" s="2">
        <v>5.5833310999999997</v>
      </c>
      <c r="P244" s="2" t="str">
        <f t="shared" si="11"/>
        <v>5–10 km/h</v>
      </c>
      <c r="Q244" s="2">
        <v>688</v>
      </c>
      <c r="R244" s="2">
        <v>4370</v>
      </c>
      <c r="S244" s="2">
        <v>5058</v>
      </c>
    </row>
    <row r="245" spans="1:19" x14ac:dyDescent="0.3">
      <c r="A245" s="2">
        <v>244</v>
      </c>
      <c r="B245" s="1">
        <v>43109</v>
      </c>
      <c r="C245" t="s">
        <v>905</v>
      </c>
      <c r="D245">
        <v>2018</v>
      </c>
      <c r="E245" t="s">
        <v>928</v>
      </c>
      <c r="F245" t="s">
        <v>908</v>
      </c>
      <c r="G245" t="s">
        <v>913</v>
      </c>
      <c r="H245" t="s">
        <v>909</v>
      </c>
      <c r="I245" t="s">
        <v>917</v>
      </c>
      <c r="J245" s="2">
        <v>26.855</v>
      </c>
      <c r="K245" s="2">
        <v>30.74605</v>
      </c>
      <c r="L245" s="2" t="str">
        <f t="shared" si="9"/>
        <v>30–35°C</v>
      </c>
      <c r="M245" s="3">
        <v>63.916699999999999</v>
      </c>
      <c r="N245" s="3" t="str">
        <f t="shared" si="10"/>
        <v>60–80%</v>
      </c>
      <c r="O245" s="2">
        <v>9.5003320000000002</v>
      </c>
      <c r="P245" s="2" t="str">
        <f t="shared" si="11"/>
        <v>5–10 km/h</v>
      </c>
      <c r="Q245" s="2">
        <v>783</v>
      </c>
      <c r="R245" s="2">
        <v>4332</v>
      </c>
      <c r="S245" s="2">
        <v>5115</v>
      </c>
    </row>
    <row r="246" spans="1:19" x14ac:dyDescent="0.3">
      <c r="A246" s="2">
        <v>245</v>
      </c>
      <c r="B246" s="1">
        <v>43140</v>
      </c>
      <c r="C246" t="s">
        <v>905</v>
      </c>
      <c r="D246">
        <v>2018</v>
      </c>
      <c r="E246" t="s">
        <v>928</v>
      </c>
      <c r="F246" t="s">
        <v>908</v>
      </c>
      <c r="G246" t="s">
        <v>914</v>
      </c>
      <c r="H246" t="s">
        <v>909</v>
      </c>
      <c r="I246" t="s">
        <v>918</v>
      </c>
      <c r="J246" s="2">
        <v>26.376653000000001</v>
      </c>
      <c r="K246" s="2">
        <v>30.240400000000001</v>
      </c>
      <c r="L246" s="2" t="str">
        <f t="shared" si="9"/>
        <v>30–35°C</v>
      </c>
      <c r="M246" s="3">
        <v>72.708299999999994</v>
      </c>
      <c r="N246" s="3" t="str">
        <f t="shared" si="10"/>
        <v>60–80%</v>
      </c>
      <c r="O246" s="2">
        <v>9.3752429999999993</v>
      </c>
      <c r="P246" s="2" t="str">
        <f t="shared" si="11"/>
        <v>5–10 km/h</v>
      </c>
      <c r="Q246" s="2">
        <v>875</v>
      </c>
      <c r="R246" s="2">
        <v>3852</v>
      </c>
      <c r="S246" s="2">
        <v>4727</v>
      </c>
    </row>
    <row r="247" spans="1:19" x14ac:dyDescent="0.3">
      <c r="A247" s="2">
        <v>246</v>
      </c>
      <c r="B247" s="1">
        <v>43168</v>
      </c>
      <c r="C247" t="s">
        <v>905</v>
      </c>
      <c r="D247">
        <v>2018</v>
      </c>
      <c r="E247" t="s">
        <v>928</v>
      </c>
      <c r="F247" t="s">
        <v>908</v>
      </c>
      <c r="G247" t="s">
        <v>915</v>
      </c>
      <c r="H247" t="s">
        <v>908</v>
      </c>
      <c r="I247" t="s">
        <v>917</v>
      </c>
      <c r="J247" s="2">
        <v>27.435846999999999</v>
      </c>
      <c r="K247" s="2">
        <v>31.66065</v>
      </c>
      <c r="L247" s="2" t="str">
        <f t="shared" si="9"/>
        <v>30–35°C</v>
      </c>
      <c r="M247" s="3">
        <v>71.666700000000006</v>
      </c>
      <c r="N247" s="3" t="str">
        <f t="shared" si="10"/>
        <v>60–80%</v>
      </c>
      <c r="O247" s="2">
        <v>12.416774999999999</v>
      </c>
      <c r="P247" s="2" t="str">
        <f t="shared" si="11"/>
        <v>10–15 km/h</v>
      </c>
      <c r="Q247" s="2">
        <v>1935</v>
      </c>
      <c r="R247" s="2">
        <v>2549</v>
      </c>
      <c r="S247" s="2">
        <v>4484</v>
      </c>
    </row>
    <row r="248" spans="1:19" x14ac:dyDescent="0.3">
      <c r="A248" s="2">
        <v>247</v>
      </c>
      <c r="B248" s="1">
        <v>43199</v>
      </c>
      <c r="C248" t="s">
        <v>905</v>
      </c>
      <c r="D248">
        <v>2018</v>
      </c>
      <c r="E248" t="s">
        <v>928</v>
      </c>
      <c r="F248" t="s">
        <v>908</v>
      </c>
      <c r="G248" t="s">
        <v>916</v>
      </c>
      <c r="H248" t="s">
        <v>908</v>
      </c>
      <c r="I248" t="s">
        <v>917</v>
      </c>
      <c r="J248" s="2">
        <v>29.075847</v>
      </c>
      <c r="K248" s="2">
        <v>33.271450000000002</v>
      </c>
      <c r="L248" s="2" t="str">
        <f t="shared" si="9"/>
        <v>30–35°C</v>
      </c>
      <c r="M248" s="3">
        <v>74.208299999999994</v>
      </c>
      <c r="N248" s="3" t="str">
        <f t="shared" si="10"/>
        <v>60–80%</v>
      </c>
      <c r="O248" s="2">
        <v>13.833289000000001</v>
      </c>
      <c r="P248" s="2" t="str">
        <f t="shared" si="11"/>
        <v>10–15 km/h</v>
      </c>
      <c r="Q248" s="2">
        <v>2521</v>
      </c>
      <c r="R248" s="2">
        <v>2419</v>
      </c>
      <c r="S248" s="2">
        <v>4940</v>
      </c>
    </row>
    <row r="249" spans="1:19" x14ac:dyDescent="0.3">
      <c r="A249" s="2">
        <v>248</v>
      </c>
      <c r="B249" s="1">
        <v>43229</v>
      </c>
      <c r="C249" t="s">
        <v>905</v>
      </c>
      <c r="D249">
        <v>2018</v>
      </c>
      <c r="E249" t="s">
        <v>928</v>
      </c>
      <c r="F249" t="s">
        <v>909</v>
      </c>
      <c r="G249" t="s">
        <v>910</v>
      </c>
      <c r="H249" t="s">
        <v>908</v>
      </c>
      <c r="I249" t="s">
        <v>918</v>
      </c>
      <c r="J249" s="2">
        <v>27.606653000000001</v>
      </c>
      <c r="K249" s="2">
        <v>31.282299999999999</v>
      </c>
      <c r="L249" s="2" t="str">
        <f t="shared" si="9"/>
        <v>30–35°C</v>
      </c>
      <c r="M249" s="3">
        <v>79.041700000000006</v>
      </c>
      <c r="N249" s="3" t="str">
        <f t="shared" si="10"/>
        <v>60–80%</v>
      </c>
      <c r="O249" s="2">
        <v>14.250632</v>
      </c>
      <c r="P249" s="2" t="str">
        <f t="shared" si="11"/>
        <v>10–15 km/h</v>
      </c>
      <c r="Q249" s="2">
        <v>1236</v>
      </c>
      <c r="R249" s="2">
        <v>2115</v>
      </c>
      <c r="S249" s="2">
        <v>3351</v>
      </c>
    </row>
    <row r="250" spans="1:19" x14ac:dyDescent="0.3">
      <c r="A250" s="2">
        <v>249</v>
      </c>
      <c r="B250" s="1">
        <v>43260</v>
      </c>
      <c r="C250" t="s">
        <v>905</v>
      </c>
      <c r="D250">
        <v>2018</v>
      </c>
      <c r="E250" t="s">
        <v>928</v>
      </c>
      <c r="F250" t="s">
        <v>908</v>
      </c>
      <c r="G250" t="s">
        <v>911</v>
      </c>
      <c r="H250" t="s">
        <v>909</v>
      </c>
      <c r="I250" t="s">
        <v>919</v>
      </c>
      <c r="J250" s="2">
        <v>22.14</v>
      </c>
      <c r="K250" s="2">
        <v>25.76</v>
      </c>
      <c r="L250" s="2" t="str">
        <f t="shared" si="9"/>
        <v>25–30°C</v>
      </c>
      <c r="M250" s="3">
        <v>88.695700000000002</v>
      </c>
      <c r="N250" s="3" t="str">
        <f t="shared" si="10"/>
        <v>80–100%</v>
      </c>
      <c r="O250" s="2">
        <v>23.044180999999998</v>
      </c>
      <c r="P250" s="2" t="str">
        <f t="shared" si="11"/>
        <v>20–25 km/h</v>
      </c>
      <c r="Q250" s="2">
        <v>204</v>
      </c>
      <c r="R250" s="2">
        <v>2506</v>
      </c>
      <c r="S250" s="2">
        <v>2710</v>
      </c>
    </row>
    <row r="251" spans="1:19" x14ac:dyDescent="0.3">
      <c r="A251" s="2">
        <v>250</v>
      </c>
      <c r="B251" s="1">
        <v>43290</v>
      </c>
      <c r="C251" t="s">
        <v>905</v>
      </c>
      <c r="D251">
        <v>2018</v>
      </c>
      <c r="E251" t="s">
        <v>928</v>
      </c>
      <c r="F251" t="s">
        <v>908</v>
      </c>
      <c r="G251" t="s">
        <v>912</v>
      </c>
      <c r="H251" t="s">
        <v>909</v>
      </c>
      <c r="I251" t="s">
        <v>919</v>
      </c>
      <c r="J251" s="2">
        <v>24.565847000000002</v>
      </c>
      <c r="K251" s="2">
        <v>27.211449999999999</v>
      </c>
      <c r="L251" s="2" t="str">
        <f t="shared" si="9"/>
        <v>25–30°C</v>
      </c>
      <c r="M251" s="3">
        <v>91.708299999999994</v>
      </c>
      <c r="N251" s="3" t="str">
        <f t="shared" si="10"/>
        <v>80–100%</v>
      </c>
      <c r="O251" s="2">
        <v>6.5003935999999998</v>
      </c>
      <c r="P251" s="2" t="str">
        <f t="shared" si="11"/>
        <v>5–10 km/h</v>
      </c>
      <c r="Q251" s="2">
        <v>118</v>
      </c>
      <c r="R251" s="2">
        <v>1878</v>
      </c>
      <c r="S251" s="2">
        <v>1996</v>
      </c>
    </row>
    <row r="252" spans="1:19" x14ac:dyDescent="0.3">
      <c r="A252" s="2">
        <v>251</v>
      </c>
      <c r="B252" s="1">
        <v>43321</v>
      </c>
      <c r="C252" t="s">
        <v>905</v>
      </c>
      <c r="D252">
        <v>2018</v>
      </c>
      <c r="E252" t="s">
        <v>928</v>
      </c>
      <c r="F252" t="s">
        <v>908</v>
      </c>
      <c r="G252" t="s">
        <v>913</v>
      </c>
      <c r="H252" t="s">
        <v>909</v>
      </c>
      <c r="I252" t="s">
        <v>919</v>
      </c>
      <c r="J252" s="2">
        <v>25.990432999999999</v>
      </c>
      <c r="K252" s="2">
        <v>27.768049999999999</v>
      </c>
      <c r="L252" s="2" t="str">
        <f t="shared" si="9"/>
        <v>25–30°C</v>
      </c>
      <c r="M252" s="3">
        <v>93.956500000000005</v>
      </c>
      <c r="N252" s="3" t="str">
        <f t="shared" si="10"/>
        <v>80–100%</v>
      </c>
      <c r="O252" s="2">
        <v>12.914116</v>
      </c>
      <c r="P252" s="2" t="str">
        <f t="shared" si="11"/>
        <v>10–15 km/h</v>
      </c>
      <c r="Q252" s="2">
        <v>153</v>
      </c>
      <c r="R252" s="2">
        <v>1689</v>
      </c>
      <c r="S252" s="2">
        <v>1842</v>
      </c>
    </row>
    <row r="253" spans="1:19" x14ac:dyDescent="0.3">
      <c r="A253" s="2">
        <v>252</v>
      </c>
      <c r="B253" s="1">
        <v>43352</v>
      </c>
      <c r="C253" t="s">
        <v>905</v>
      </c>
      <c r="D253">
        <v>2018</v>
      </c>
      <c r="E253" t="s">
        <v>928</v>
      </c>
      <c r="F253" t="s">
        <v>908</v>
      </c>
      <c r="G253" t="s">
        <v>914</v>
      </c>
      <c r="H253" t="s">
        <v>909</v>
      </c>
      <c r="I253" t="s">
        <v>918</v>
      </c>
      <c r="J253" s="2">
        <v>26.65</v>
      </c>
      <c r="K253" s="2">
        <v>28.947299999999998</v>
      </c>
      <c r="L253" s="2" t="str">
        <f t="shared" si="9"/>
        <v>25–30°C</v>
      </c>
      <c r="M253" s="3">
        <v>89.791700000000006</v>
      </c>
      <c r="N253" s="3" t="str">
        <f t="shared" si="10"/>
        <v>80–100%</v>
      </c>
      <c r="O253" s="2">
        <v>8.3333929999999992</v>
      </c>
      <c r="P253" s="2" t="str">
        <f t="shared" si="11"/>
        <v>5–10 km/h</v>
      </c>
      <c r="Q253" s="2">
        <v>417</v>
      </c>
      <c r="R253" s="2">
        <v>3127</v>
      </c>
      <c r="S253" s="2">
        <v>3544</v>
      </c>
    </row>
    <row r="254" spans="1:19" x14ac:dyDescent="0.3">
      <c r="A254" s="2">
        <v>253</v>
      </c>
      <c r="B254" s="1">
        <v>43382</v>
      </c>
      <c r="C254" t="s">
        <v>905</v>
      </c>
      <c r="D254">
        <v>2018</v>
      </c>
      <c r="E254" t="s">
        <v>928</v>
      </c>
      <c r="F254" t="s">
        <v>908</v>
      </c>
      <c r="G254" t="s">
        <v>915</v>
      </c>
      <c r="H254" t="s">
        <v>908</v>
      </c>
      <c r="I254" t="s">
        <v>917</v>
      </c>
      <c r="J254" s="2">
        <v>27.06</v>
      </c>
      <c r="K254" s="2">
        <v>30.398099999999999</v>
      </c>
      <c r="L254" s="2" t="str">
        <f t="shared" si="9"/>
        <v>30–35°C</v>
      </c>
      <c r="M254" s="3">
        <v>75.375</v>
      </c>
      <c r="N254" s="3" t="str">
        <f t="shared" si="10"/>
        <v>60–80%</v>
      </c>
      <c r="O254" s="2">
        <v>10.291736</v>
      </c>
      <c r="P254" s="2" t="str">
        <f t="shared" si="11"/>
        <v>10–15 km/h</v>
      </c>
      <c r="Q254" s="2">
        <v>1750</v>
      </c>
      <c r="R254" s="2">
        <v>3595</v>
      </c>
      <c r="S254" s="2">
        <v>5345</v>
      </c>
    </row>
    <row r="255" spans="1:19" x14ac:dyDescent="0.3">
      <c r="A255" s="2">
        <v>254</v>
      </c>
      <c r="B255" s="1">
        <v>43413</v>
      </c>
      <c r="C255" t="s">
        <v>905</v>
      </c>
      <c r="D255">
        <v>2018</v>
      </c>
      <c r="E255" t="s">
        <v>928</v>
      </c>
      <c r="F255" t="s">
        <v>908</v>
      </c>
      <c r="G255" t="s">
        <v>916</v>
      </c>
      <c r="H255" t="s">
        <v>908</v>
      </c>
      <c r="I255" t="s">
        <v>917</v>
      </c>
      <c r="J255" s="2">
        <v>26.786653000000001</v>
      </c>
      <c r="K255" s="2">
        <v>30.461449999999999</v>
      </c>
      <c r="L255" s="2" t="str">
        <f t="shared" si="9"/>
        <v>30–35°C</v>
      </c>
      <c r="M255" s="3">
        <v>71.375</v>
      </c>
      <c r="N255" s="3" t="str">
        <f t="shared" si="10"/>
        <v>60–80%</v>
      </c>
      <c r="O255" s="2">
        <v>7.7086180000000004</v>
      </c>
      <c r="P255" s="2" t="str">
        <f t="shared" si="11"/>
        <v>5–10 km/h</v>
      </c>
      <c r="Q255" s="2">
        <v>1633</v>
      </c>
      <c r="R255" s="2">
        <v>3413</v>
      </c>
      <c r="S255" s="2">
        <v>5046</v>
      </c>
    </row>
    <row r="256" spans="1:19" x14ac:dyDescent="0.3">
      <c r="A256" s="2">
        <v>255</v>
      </c>
      <c r="B256" s="1">
        <v>43443</v>
      </c>
      <c r="C256" t="s">
        <v>905</v>
      </c>
      <c r="D256">
        <v>2018</v>
      </c>
      <c r="E256" t="s">
        <v>928</v>
      </c>
      <c r="F256" t="s">
        <v>908</v>
      </c>
      <c r="G256" t="s">
        <v>910</v>
      </c>
      <c r="H256" t="s">
        <v>909</v>
      </c>
      <c r="I256" t="s">
        <v>917</v>
      </c>
      <c r="J256" s="2">
        <v>26.418268000000001</v>
      </c>
      <c r="K256" s="2">
        <v>30.1065</v>
      </c>
      <c r="L256" s="2" t="str">
        <f t="shared" si="9"/>
        <v>30–35°C</v>
      </c>
      <c r="M256" s="3">
        <v>69.217399999999998</v>
      </c>
      <c r="N256" s="3" t="str">
        <f t="shared" si="10"/>
        <v>60–80%</v>
      </c>
      <c r="O256" s="2">
        <v>5.9571709999999998</v>
      </c>
      <c r="P256" s="2" t="str">
        <f t="shared" si="11"/>
        <v>5–10 km/h</v>
      </c>
      <c r="Q256" s="2">
        <v>690</v>
      </c>
      <c r="R256" s="2">
        <v>4023</v>
      </c>
      <c r="S256" s="2">
        <v>4713</v>
      </c>
    </row>
    <row r="257" spans="1:19" x14ac:dyDescent="0.3">
      <c r="A257" s="2">
        <v>256</v>
      </c>
      <c r="B257" s="1" t="s">
        <v>608</v>
      </c>
      <c r="C257" t="s">
        <v>905</v>
      </c>
      <c r="D257">
        <v>2018</v>
      </c>
      <c r="E257" t="s">
        <v>928</v>
      </c>
      <c r="F257" t="s">
        <v>908</v>
      </c>
      <c r="G257" t="s">
        <v>911</v>
      </c>
      <c r="H257" t="s">
        <v>909</v>
      </c>
      <c r="I257" t="s">
        <v>917</v>
      </c>
      <c r="J257" s="2">
        <v>26.684152999999998</v>
      </c>
      <c r="K257" s="2">
        <v>30.177700000000002</v>
      </c>
      <c r="L257" s="2" t="str">
        <f t="shared" si="9"/>
        <v>30–35°C</v>
      </c>
      <c r="M257" s="3">
        <v>71.25</v>
      </c>
      <c r="N257" s="3" t="str">
        <f t="shared" si="10"/>
        <v>60–80%</v>
      </c>
      <c r="O257" s="2">
        <v>9.5008680000000005</v>
      </c>
      <c r="P257" s="2" t="str">
        <f t="shared" si="11"/>
        <v>5–10 km/h</v>
      </c>
      <c r="Q257" s="2">
        <v>701</v>
      </c>
      <c r="R257" s="2">
        <v>4062</v>
      </c>
      <c r="S257" s="2">
        <v>4763</v>
      </c>
    </row>
    <row r="258" spans="1:19" x14ac:dyDescent="0.3">
      <c r="A258" s="2">
        <v>257</v>
      </c>
      <c r="B258" s="1" t="s">
        <v>609</v>
      </c>
      <c r="C258" t="s">
        <v>905</v>
      </c>
      <c r="D258">
        <v>2018</v>
      </c>
      <c r="E258" t="s">
        <v>928</v>
      </c>
      <c r="F258" t="s">
        <v>908</v>
      </c>
      <c r="G258" t="s">
        <v>912</v>
      </c>
      <c r="H258" t="s">
        <v>909</v>
      </c>
      <c r="I258" t="s">
        <v>917</v>
      </c>
      <c r="J258" s="2">
        <v>27.606653000000001</v>
      </c>
      <c r="K258" s="2">
        <v>31.344999999999999</v>
      </c>
      <c r="L258" s="2" t="str">
        <f t="shared" ref="L258:L321" si="12">FLOOR(K258,5)&amp;"–"&amp;FLOOR(K258,5)+5&amp;"°C"</f>
        <v>30–35°C</v>
      </c>
      <c r="M258" s="3">
        <v>69.708299999999994</v>
      </c>
      <c r="N258" s="3" t="str">
        <f t="shared" ref="N258:N321" si="13">FLOOR(M258,20)&amp;"–"&amp;FLOOR(M258,20)+20&amp;"%"</f>
        <v>60–80%</v>
      </c>
      <c r="O258" s="2">
        <v>11.209099999999999</v>
      </c>
      <c r="P258" s="2" t="str">
        <f t="shared" ref="P258:P321" si="14">FLOOR(O258,5)&amp;"–"&amp;FLOOR(O258,5)+5&amp;" km/h"</f>
        <v>10–15 km/h</v>
      </c>
      <c r="Q258" s="2">
        <v>647</v>
      </c>
      <c r="R258" s="2">
        <v>4138</v>
      </c>
      <c r="S258" s="2">
        <v>4785</v>
      </c>
    </row>
    <row r="259" spans="1:19" x14ac:dyDescent="0.3">
      <c r="A259" s="2">
        <v>258</v>
      </c>
      <c r="B259" s="1" t="s">
        <v>610</v>
      </c>
      <c r="C259" t="s">
        <v>905</v>
      </c>
      <c r="D259">
        <v>2018</v>
      </c>
      <c r="E259" t="s">
        <v>928</v>
      </c>
      <c r="F259" t="s">
        <v>908</v>
      </c>
      <c r="G259" t="s">
        <v>913</v>
      </c>
      <c r="H259" t="s">
        <v>909</v>
      </c>
      <c r="I259" t="s">
        <v>918</v>
      </c>
      <c r="J259" s="2">
        <v>23.677499999999998</v>
      </c>
      <c r="K259" s="2">
        <v>27.68355</v>
      </c>
      <c r="L259" s="2" t="str">
        <f t="shared" si="12"/>
        <v>25–30°C</v>
      </c>
      <c r="M259" s="3">
        <v>70.916700000000006</v>
      </c>
      <c r="N259" s="3" t="str">
        <f t="shared" si="13"/>
        <v>60–80%</v>
      </c>
      <c r="O259" s="2">
        <v>18.166782000000001</v>
      </c>
      <c r="P259" s="2" t="str">
        <f t="shared" si="14"/>
        <v>15–20 km/h</v>
      </c>
      <c r="Q259" s="2">
        <v>428</v>
      </c>
      <c r="R259" s="2">
        <v>3231</v>
      </c>
      <c r="S259" s="2">
        <v>3659</v>
      </c>
    </row>
    <row r="260" spans="1:19" x14ac:dyDescent="0.3">
      <c r="A260" s="2">
        <v>259</v>
      </c>
      <c r="B260" s="1" t="s">
        <v>611</v>
      </c>
      <c r="C260" t="s">
        <v>905</v>
      </c>
      <c r="D260">
        <v>2018</v>
      </c>
      <c r="E260" t="s">
        <v>928</v>
      </c>
      <c r="F260" t="s">
        <v>908</v>
      </c>
      <c r="G260" t="s">
        <v>914</v>
      </c>
      <c r="H260" t="s">
        <v>909</v>
      </c>
      <c r="I260" t="s">
        <v>918</v>
      </c>
      <c r="J260" s="2">
        <v>19.235847</v>
      </c>
      <c r="K260" s="2">
        <v>23.07375</v>
      </c>
      <c r="L260" s="2" t="str">
        <f t="shared" si="12"/>
        <v>20–25°C</v>
      </c>
      <c r="M260" s="3">
        <v>59.041699999999999</v>
      </c>
      <c r="N260" s="3" t="str">
        <f t="shared" si="13"/>
        <v>40–60%</v>
      </c>
      <c r="O260" s="2">
        <v>11.000261</v>
      </c>
      <c r="P260" s="2" t="str">
        <f t="shared" si="14"/>
        <v>10–15 km/h</v>
      </c>
      <c r="Q260" s="2">
        <v>742</v>
      </c>
      <c r="R260" s="2">
        <v>4018</v>
      </c>
      <c r="S260" s="2">
        <v>4760</v>
      </c>
    </row>
    <row r="261" spans="1:19" x14ac:dyDescent="0.3">
      <c r="A261" s="2">
        <v>260</v>
      </c>
      <c r="B261" s="1" t="s">
        <v>612</v>
      </c>
      <c r="C261" t="s">
        <v>905</v>
      </c>
      <c r="D261">
        <v>2018</v>
      </c>
      <c r="E261" t="s">
        <v>928</v>
      </c>
      <c r="F261" t="s">
        <v>908</v>
      </c>
      <c r="G261" t="s">
        <v>915</v>
      </c>
      <c r="H261" t="s">
        <v>908</v>
      </c>
      <c r="I261" t="s">
        <v>918</v>
      </c>
      <c r="J261" s="2">
        <v>20.158346999999999</v>
      </c>
      <c r="K261" s="2">
        <v>23.925599999999999</v>
      </c>
      <c r="L261" s="2" t="str">
        <f t="shared" si="12"/>
        <v>20–25°C</v>
      </c>
      <c r="M261" s="3">
        <v>71.833299999999994</v>
      </c>
      <c r="N261" s="3" t="str">
        <f t="shared" si="13"/>
        <v>60–80%</v>
      </c>
      <c r="O261" s="2">
        <v>12.708225000000001</v>
      </c>
      <c r="P261" s="2" t="str">
        <f t="shared" si="14"/>
        <v>10–15 km/h</v>
      </c>
      <c r="Q261" s="2">
        <v>1434</v>
      </c>
      <c r="R261" s="2">
        <v>3077</v>
      </c>
      <c r="S261" s="2">
        <v>4511</v>
      </c>
    </row>
    <row r="262" spans="1:19" x14ac:dyDescent="0.3">
      <c r="A262" s="2">
        <v>261</v>
      </c>
      <c r="B262" s="1" t="s">
        <v>613</v>
      </c>
      <c r="C262" t="s">
        <v>905</v>
      </c>
      <c r="D262">
        <v>2018</v>
      </c>
      <c r="E262" t="s">
        <v>928</v>
      </c>
      <c r="F262" t="s">
        <v>908</v>
      </c>
      <c r="G262" t="s">
        <v>916</v>
      </c>
      <c r="H262" t="s">
        <v>908</v>
      </c>
      <c r="I262" t="s">
        <v>917</v>
      </c>
      <c r="J262" s="2">
        <v>20.807500000000001</v>
      </c>
      <c r="K262" s="2">
        <v>24.52685</v>
      </c>
      <c r="L262" s="2" t="str">
        <f t="shared" si="12"/>
        <v>20–25°C</v>
      </c>
      <c r="M262" s="3">
        <v>69.5</v>
      </c>
      <c r="N262" s="3" t="str">
        <f t="shared" si="13"/>
        <v>60–80%</v>
      </c>
      <c r="O262" s="2">
        <v>11.958361</v>
      </c>
      <c r="P262" s="2" t="str">
        <f t="shared" si="14"/>
        <v>10–15 km/h</v>
      </c>
      <c r="Q262" s="2">
        <v>1353</v>
      </c>
      <c r="R262" s="2">
        <v>2921</v>
      </c>
      <c r="S262" s="2">
        <v>4274</v>
      </c>
    </row>
    <row r="263" spans="1:19" x14ac:dyDescent="0.3">
      <c r="A263" s="2">
        <v>262</v>
      </c>
      <c r="B263" s="1" t="s">
        <v>614</v>
      </c>
      <c r="C263" t="s">
        <v>905</v>
      </c>
      <c r="D263">
        <v>2018</v>
      </c>
      <c r="E263" t="s">
        <v>928</v>
      </c>
      <c r="F263" t="s">
        <v>908</v>
      </c>
      <c r="G263" t="s">
        <v>910</v>
      </c>
      <c r="H263" t="s">
        <v>909</v>
      </c>
      <c r="I263" t="s">
        <v>918</v>
      </c>
      <c r="J263" s="2">
        <v>22.515847000000001</v>
      </c>
      <c r="K263" s="2">
        <v>26.483750000000001</v>
      </c>
      <c r="L263" s="2" t="str">
        <f t="shared" si="12"/>
        <v>25–30°C</v>
      </c>
      <c r="M263" s="3">
        <v>69</v>
      </c>
      <c r="N263" s="3" t="str">
        <f t="shared" si="13"/>
        <v>60–80%</v>
      </c>
      <c r="O263" s="2">
        <v>10.166714000000001</v>
      </c>
      <c r="P263" s="2" t="str">
        <f t="shared" si="14"/>
        <v>10–15 km/h</v>
      </c>
      <c r="Q263" s="2">
        <v>691</v>
      </c>
      <c r="R263" s="2">
        <v>3848</v>
      </c>
      <c r="S263" s="2">
        <v>4539</v>
      </c>
    </row>
    <row r="264" spans="1:19" x14ac:dyDescent="0.3">
      <c r="A264" s="2">
        <v>263</v>
      </c>
      <c r="B264" s="1" t="s">
        <v>615</v>
      </c>
      <c r="C264" t="s">
        <v>905</v>
      </c>
      <c r="D264">
        <v>2018</v>
      </c>
      <c r="E264" t="s">
        <v>928</v>
      </c>
      <c r="F264" t="s">
        <v>908</v>
      </c>
      <c r="G264" t="s">
        <v>911</v>
      </c>
      <c r="H264" t="s">
        <v>909</v>
      </c>
      <c r="I264" t="s">
        <v>918</v>
      </c>
      <c r="J264" s="2">
        <v>23.028347</v>
      </c>
      <c r="K264" s="2">
        <v>26.610849999999999</v>
      </c>
      <c r="L264" s="2" t="str">
        <f t="shared" si="12"/>
        <v>25–30°C</v>
      </c>
      <c r="M264" s="3">
        <v>88.125</v>
      </c>
      <c r="N264" s="3" t="str">
        <f t="shared" si="13"/>
        <v>80–100%</v>
      </c>
      <c r="O264" s="2">
        <v>9.0419180000000008</v>
      </c>
      <c r="P264" s="2" t="str">
        <f t="shared" si="14"/>
        <v>5–10 km/h</v>
      </c>
      <c r="Q264" s="2">
        <v>438</v>
      </c>
      <c r="R264" s="2">
        <v>3203</v>
      </c>
      <c r="S264" s="2">
        <v>3641</v>
      </c>
    </row>
    <row r="265" spans="1:19" x14ac:dyDescent="0.3">
      <c r="A265" s="2">
        <v>264</v>
      </c>
      <c r="B265" s="1" t="s">
        <v>616</v>
      </c>
      <c r="C265" t="s">
        <v>905</v>
      </c>
      <c r="D265">
        <v>2018</v>
      </c>
      <c r="E265" t="s">
        <v>928</v>
      </c>
      <c r="F265" t="s">
        <v>908</v>
      </c>
      <c r="G265" t="s">
        <v>912</v>
      </c>
      <c r="H265" t="s">
        <v>909</v>
      </c>
      <c r="I265" t="s">
        <v>918</v>
      </c>
      <c r="J265" s="2">
        <v>24.395</v>
      </c>
      <c r="K265" s="2">
        <v>27.52665</v>
      </c>
      <c r="L265" s="2" t="str">
        <f t="shared" si="12"/>
        <v>25–30°C</v>
      </c>
      <c r="M265" s="3">
        <v>90</v>
      </c>
      <c r="N265" s="3" t="str">
        <f t="shared" si="13"/>
        <v>80–100%</v>
      </c>
      <c r="O265" s="2">
        <v>6.4590813999999996</v>
      </c>
      <c r="P265" s="2" t="str">
        <f t="shared" si="14"/>
        <v>5–10 km/h</v>
      </c>
      <c r="Q265" s="2">
        <v>539</v>
      </c>
      <c r="R265" s="2">
        <v>3813</v>
      </c>
      <c r="S265" s="2">
        <v>4352</v>
      </c>
    </row>
    <row r="266" spans="1:19" x14ac:dyDescent="0.3">
      <c r="A266" s="2">
        <v>265</v>
      </c>
      <c r="B266" s="1" t="s">
        <v>617</v>
      </c>
      <c r="C266" t="s">
        <v>905</v>
      </c>
      <c r="D266">
        <v>2018</v>
      </c>
      <c r="E266" t="s">
        <v>928</v>
      </c>
      <c r="F266" t="s">
        <v>908</v>
      </c>
      <c r="G266" t="s">
        <v>913</v>
      </c>
      <c r="H266" t="s">
        <v>909</v>
      </c>
      <c r="I266" t="s">
        <v>918</v>
      </c>
      <c r="J266" s="2">
        <v>25.761652999999999</v>
      </c>
      <c r="K266" s="2">
        <v>27.748149999999999</v>
      </c>
      <c r="L266" s="2" t="str">
        <f t="shared" si="12"/>
        <v>25–30°C</v>
      </c>
      <c r="M266" s="3">
        <v>90.208299999999994</v>
      </c>
      <c r="N266" s="3" t="str">
        <f t="shared" si="13"/>
        <v>80–100%</v>
      </c>
      <c r="O266" s="2">
        <v>8.5843749999999996</v>
      </c>
      <c r="P266" s="2" t="str">
        <f t="shared" si="14"/>
        <v>5–10 km/h</v>
      </c>
      <c r="Q266" s="2">
        <v>555</v>
      </c>
      <c r="R266" s="2">
        <v>4240</v>
      </c>
      <c r="S266" s="2">
        <v>4795</v>
      </c>
    </row>
    <row r="267" spans="1:19" x14ac:dyDescent="0.3">
      <c r="A267" s="2">
        <v>266</v>
      </c>
      <c r="B267" s="1" t="s">
        <v>618</v>
      </c>
      <c r="C267" t="s">
        <v>906</v>
      </c>
      <c r="D267">
        <v>2018</v>
      </c>
      <c r="E267" t="s">
        <v>928</v>
      </c>
      <c r="F267" t="s">
        <v>908</v>
      </c>
      <c r="G267" t="s">
        <v>914</v>
      </c>
      <c r="H267" t="s">
        <v>909</v>
      </c>
      <c r="I267" t="s">
        <v>918</v>
      </c>
      <c r="J267" s="2">
        <v>24.975847000000002</v>
      </c>
      <c r="K267" s="2">
        <v>26.106249999999999</v>
      </c>
      <c r="L267" s="2" t="str">
        <f t="shared" si="12"/>
        <v>25–30°C</v>
      </c>
      <c r="M267" s="3">
        <v>97.25</v>
      </c>
      <c r="N267" s="3" t="str">
        <f t="shared" si="13"/>
        <v>80–100%</v>
      </c>
      <c r="O267" s="2">
        <v>5.2505689000000002</v>
      </c>
      <c r="P267" s="2" t="str">
        <f t="shared" si="14"/>
        <v>5–10 km/h</v>
      </c>
      <c r="Q267" s="2">
        <v>258</v>
      </c>
      <c r="R267" s="2">
        <v>2137</v>
      </c>
      <c r="S267" s="2">
        <v>2395</v>
      </c>
    </row>
    <row r="268" spans="1:19" x14ac:dyDescent="0.3">
      <c r="A268" s="2">
        <v>267</v>
      </c>
      <c r="B268" s="1" t="s">
        <v>619</v>
      </c>
      <c r="C268" t="s">
        <v>906</v>
      </c>
      <c r="D268">
        <v>2018</v>
      </c>
      <c r="E268" t="s">
        <v>928</v>
      </c>
      <c r="F268" t="s">
        <v>908</v>
      </c>
      <c r="G268" t="s">
        <v>915</v>
      </c>
      <c r="H268" t="s">
        <v>908</v>
      </c>
      <c r="I268" t="s">
        <v>918</v>
      </c>
      <c r="J268" s="2">
        <v>24.873346999999999</v>
      </c>
      <c r="K268" s="2">
        <v>28.220600000000001</v>
      </c>
      <c r="L268" s="2" t="str">
        <f t="shared" si="12"/>
        <v>25–30°C</v>
      </c>
      <c r="M268" s="3">
        <v>86.25</v>
      </c>
      <c r="N268" s="3" t="str">
        <f t="shared" si="13"/>
        <v>80–100%</v>
      </c>
      <c r="O268" s="2">
        <v>5.2516810999999999</v>
      </c>
      <c r="P268" s="2" t="str">
        <f t="shared" si="14"/>
        <v>5–10 km/h</v>
      </c>
      <c r="Q268" s="2">
        <v>1776</v>
      </c>
      <c r="R268" s="2">
        <v>3647</v>
      </c>
      <c r="S268" s="2">
        <v>5423</v>
      </c>
    </row>
    <row r="269" spans="1:19" x14ac:dyDescent="0.3">
      <c r="A269" s="2">
        <v>268</v>
      </c>
      <c r="B269" s="1" t="s">
        <v>620</v>
      </c>
      <c r="C269" t="s">
        <v>906</v>
      </c>
      <c r="D269">
        <v>2018</v>
      </c>
      <c r="E269" t="s">
        <v>928</v>
      </c>
      <c r="F269" t="s">
        <v>908</v>
      </c>
      <c r="G269" t="s">
        <v>916</v>
      </c>
      <c r="H269" t="s">
        <v>908</v>
      </c>
      <c r="I269" t="s">
        <v>918</v>
      </c>
      <c r="J269" s="2">
        <v>26.000847</v>
      </c>
      <c r="K269" s="2">
        <v>28.63185</v>
      </c>
      <c r="L269" s="2" t="str">
        <f t="shared" si="12"/>
        <v>25–30°C</v>
      </c>
      <c r="M269" s="3">
        <v>84.5</v>
      </c>
      <c r="N269" s="3" t="str">
        <f t="shared" si="13"/>
        <v>80–100%</v>
      </c>
      <c r="O269" s="2">
        <v>3.3754064000000001</v>
      </c>
      <c r="P269" s="2" t="str">
        <f t="shared" si="14"/>
        <v>0–5 km/h</v>
      </c>
      <c r="Q269" s="2">
        <v>1544</v>
      </c>
      <c r="R269" s="2">
        <v>3466</v>
      </c>
      <c r="S269" s="2">
        <v>5010</v>
      </c>
    </row>
    <row r="270" spans="1:19" x14ac:dyDescent="0.3">
      <c r="A270" s="2">
        <v>269</v>
      </c>
      <c r="B270" s="1" t="s">
        <v>621</v>
      </c>
      <c r="C270" t="s">
        <v>906</v>
      </c>
      <c r="D270">
        <v>2018</v>
      </c>
      <c r="E270" t="s">
        <v>928</v>
      </c>
      <c r="F270" t="s">
        <v>908</v>
      </c>
      <c r="G270" t="s">
        <v>910</v>
      </c>
      <c r="H270" t="s">
        <v>909</v>
      </c>
      <c r="I270" t="s">
        <v>918</v>
      </c>
      <c r="J270" s="2">
        <v>26.615846999999999</v>
      </c>
      <c r="K270" s="2">
        <v>29.452100000000002</v>
      </c>
      <c r="L270" s="2" t="str">
        <f t="shared" si="12"/>
        <v>25–30°C</v>
      </c>
      <c r="M270" s="3">
        <v>84.833299999999994</v>
      </c>
      <c r="N270" s="3" t="str">
        <f t="shared" si="13"/>
        <v>80–100%</v>
      </c>
      <c r="O270" s="2">
        <v>7.4169</v>
      </c>
      <c r="P270" s="2" t="str">
        <f t="shared" si="14"/>
        <v>5–10 km/h</v>
      </c>
      <c r="Q270" s="2">
        <v>684</v>
      </c>
      <c r="R270" s="2">
        <v>3946</v>
      </c>
      <c r="S270" s="2">
        <v>4630</v>
      </c>
    </row>
    <row r="271" spans="1:19" x14ac:dyDescent="0.3">
      <c r="A271" s="2">
        <v>270</v>
      </c>
      <c r="B271" s="1" t="s">
        <v>622</v>
      </c>
      <c r="C271" t="s">
        <v>906</v>
      </c>
      <c r="D271">
        <v>2018</v>
      </c>
      <c r="E271" t="s">
        <v>928</v>
      </c>
      <c r="F271" t="s">
        <v>908</v>
      </c>
      <c r="G271" t="s">
        <v>911</v>
      </c>
      <c r="H271" t="s">
        <v>909</v>
      </c>
      <c r="I271" t="s">
        <v>918</v>
      </c>
      <c r="J271" s="2">
        <v>26.103346999999999</v>
      </c>
      <c r="K271" s="2">
        <v>28.72625</v>
      </c>
      <c r="L271" s="2" t="str">
        <f t="shared" si="12"/>
        <v>25–30°C</v>
      </c>
      <c r="M271" s="3">
        <v>88.541700000000006</v>
      </c>
      <c r="N271" s="3" t="str">
        <f t="shared" si="13"/>
        <v>80–100%</v>
      </c>
      <c r="O271" s="2">
        <v>7.9174569999999997</v>
      </c>
      <c r="P271" s="2" t="str">
        <f t="shared" si="14"/>
        <v>5–10 km/h</v>
      </c>
      <c r="Q271" s="2">
        <v>477</v>
      </c>
      <c r="R271" s="2">
        <v>3643</v>
      </c>
      <c r="S271" s="2">
        <v>4120</v>
      </c>
    </row>
    <row r="272" spans="1:19" x14ac:dyDescent="0.3">
      <c r="A272" s="2">
        <v>271</v>
      </c>
      <c r="B272" s="1" t="s">
        <v>623</v>
      </c>
      <c r="C272" t="s">
        <v>906</v>
      </c>
      <c r="D272">
        <v>2018</v>
      </c>
      <c r="E272" t="s">
        <v>928</v>
      </c>
      <c r="F272" t="s">
        <v>908</v>
      </c>
      <c r="G272" t="s">
        <v>912</v>
      </c>
      <c r="H272" t="s">
        <v>909</v>
      </c>
      <c r="I272" t="s">
        <v>918</v>
      </c>
      <c r="J272" s="2">
        <v>26.035</v>
      </c>
      <c r="K272" s="2">
        <v>28.757899999999999</v>
      </c>
      <c r="L272" s="2" t="str">
        <f t="shared" si="12"/>
        <v>25–30°C</v>
      </c>
      <c r="M272" s="3">
        <v>84.875</v>
      </c>
      <c r="N272" s="3" t="str">
        <f t="shared" si="13"/>
        <v>80–100%</v>
      </c>
      <c r="O272" s="2">
        <v>9.9581429999999997</v>
      </c>
      <c r="P272" s="2" t="str">
        <f t="shared" si="14"/>
        <v>5–10 km/h</v>
      </c>
      <c r="Q272" s="2">
        <v>480</v>
      </c>
      <c r="R272" s="2">
        <v>3427</v>
      </c>
      <c r="S272" s="2">
        <v>3907</v>
      </c>
    </row>
    <row r="273" spans="1:19" x14ac:dyDescent="0.3">
      <c r="A273" s="2">
        <v>272</v>
      </c>
      <c r="B273" s="1" t="s">
        <v>624</v>
      </c>
      <c r="C273" t="s">
        <v>906</v>
      </c>
      <c r="D273">
        <v>2018</v>
      </c>
      <c r="E273" t="s">
        <v>928</v>
      </c>
      <c r="F273" t="s">
        <v>908</v>
      </c>
      <c r="G273" t="s">
        <v>913</v>
      </c>
      <c r="H273" t="s">
        <v>909</v>
      </c>
      <c r="I273" t="s">
        <v>917</v>
      </c>
      <c r="J273" s="2">
        <v>25.283346999999999</v>
      </c>
      <c r="K273" s="2">
        <v>28.7256</v>
      </c>
      <c r="L273" s="2" t="str">
        <f t="shared" si="12"/>
        <v>25–30°C</v>
      </c>
      <c r="M273" s="3">
        <v>69.916700000000006</v>
      </c>
      <c r="N273" s="3" t="str">
        <f t="shared" si="13"/>
        <v>60–80%</v>
      </c>
      <c r="O273" s="2">
        <v>11.583161</v>
      </c>
      <c r="P273" s="2" t="str">
        <f t="shared" si="14"/>
        <v>10–15 km/h</v>
      </c>
      <c r="Q273" s="2">
        <v>653</v>
      </c>
      <c r="R273" s="2">
        <v>4186</v>
      </c>
      <c r="S273" s="2">
        <v>4839</v>
      </c>
    </row>
    <row r="274" spans="1:19" x14ac:dyDescent="0.3">
      <c r="A274" s="2">
        <v>273</v>
      </c>
      <c r="B274" s="1" t="s">
        <v>625</v>
      </c>
      <c r="C274" t="s">
        <v>906</v>
      </c>
      <c r="D274">
        <v>2018</v>
      </c>
      <c r="E274" t="s">
        <v>928</v>
      </c>
      <c r="F274" t="s">
        <v>908</v>
      </c>
      <c r="G274" t="s">
        <v>914</v>
      </c>
      <c r="H274" t="s">
        <v>909</v>
      </c>
      <c r="I274" t="s">
        <v>917</v>
      </c>
      <c r="J274" s="2">
        <v>23.130846999999999</v>
      </c>
      <c r="K274" s="2">
        <v>27.24145</v>
      </c>
      <c r="L274" s="2" t="str">
        <f t="shared" si="12"/>
        <v>25–30°C</v>
      </c>
      <c r="M274" s="3">
        <v>64.75</v>
      </c>
      <c r="N274" s="3" t="str">
        <f t="shared" si="13"/>
        <v>60–80%</v>
      </c>
      <c r="O274" s="2">
        <v>13.833824999999999</v>
      </c>
      <c r="P274" s="2" t="str">
        <f t="shared" si="14"/>
        <v>10–15 km/h</v>
      </c>
      <c r="Q274" s="2">
        <v>830</v>
      </c>
      <c r="R274" s="2">
        <v>4372</v>
      </c>
      <c r="S274" s="2">
        <v>5202</v>
      </c>
    </row>
    <row r="275" spans="1:19" x14ac:dyDescent="0.3">
      <c r="A275" s="2">
        <v>274</v>
      </c>
      <c r="B275" s="1">
        <v>43110</v>
      </c>
      <c r="C275" t="s">
        <v>906</v>
      </c>
      <c r="D275">
        <v>2018</v>
      </c>
      <c r="E275" t="s">
        <v>929</v>
      </c>
      <c r="F275" t="s">
        <v>908</v>
      </c>
      <c r="G275" t="s">
        <v>915</v>
      </c>
      <c r="H275" t="s">
        <v>908</v>
      </c>
      <c r="I275" t="s">
        <v>918</v>
      </c>
      <c r="J275" s="2">
        <v>16.809999999999999</v>
      </c>
      <c r="K275" s="2">
        <v>20.643149999999999</v>
      </c>
      <c r="L275" s="2" t="str">
        <f t="shared" si="12"/>
        <v>20–25°C</v>
      </c>
      <c r="M275" s="3">
        <v>75.375</v>
      </c>
      <c r="N275" s="3" t="str">
        <f t="shared" si="13"/>
        <v>60–80%</v>
      </c>
      <c r="O275" s="2">
        <v>19.583832000000001</v>
      </c>
      <c r="P275" s="2" t="str">
        <f t="shared" si="14"/>
        <v>15–20 km/h</v>
      </c>
      <c r="Q275" s="2">
        <v>480</v>
      </c>
      <c r="R275" s="2">
        <v>1949</v>
      </c>
      <c r="S275" s="2">
        <v>2429</v>
      </c>
    </row>
    <row r="276" spans="1:19" x14ac:dyDescent="0.3">
      <c r="A276" s="2">
        <v>275</v>
      </c>
      <c r="B276" s="1">
        <v>43141</v>
      </c>
      <c r="C276" t="s">
        <v>906</v>
      </c>
      <c r="D276">
        <v>2018</v>
      </c>
      <c r="E276" t="s">
        <v>929</v>
      </c>
      <c r="F276" t="s">
        <v>908</v>
      </c>
      <c r="G276" t="s">
        <v>916</v>
      </c>
      <c r="H276" t="s">
        <v>908</v>
      </c>
      <c r="I276" t="s">
        <v>918</v>
      </c>
      <c r="J276" s="2">
        <v>14.623347000000001</v>
      </c>
      <c r="K276" s="2">
        <v>17.26585</v>
      </c>
      <c r="L276" s="2" t="str">
        <f t="shared" si="12"/>
        <v>15–20°C</v>
      </c>
      <c r="M276" s="3">
        <v>79.166700000000006</v>
      </c>
      <c r="N276" s="3" t="str">
        <f t="shared" si="13"/>
        <v>60–80%</v>
      </c>
      <c r="O276" s="2">
        <v>14.874871000000001</v>
      </c>
      <c r="P276" s="2" t="str">
        <f t="shared" si="14"/>
        <v>10–15 km/h</v>
      </c>
      <c r="Q276" s="2">
        <v>616</v>
      </c>
      <c r="R276" s="2">
        <v>2302</v>
      </c>
      <c r="S276" s="2">
        <v>2918</v>
      </c>
    </row>
    <row r="277" spans="1:19" x14ac:dyDescent="0.3">
      <c r="A277" s="2">
        <v>276</v>
      </c>
      <c r="B277" s="1">
        <v>43169</v>
      </c>
      <c r="C277" t="s">
        <v>906</v>
      </c>
      <c r="D277">
        <v>2018</v>
      </c>
      <c r="E277" t="s">
        <v>929</v>
      </c>
      <c r="F277" t="s">
        <v>908</v>
      </c>
      <c r="G277" t="s">
        <v>910</v>
      </c>
      <c r="H277" t="s">
        <v>909</v>
      </c>
      <c r="I277" t="s">
        <v>918</v>
      </c>
      <c r="J277" s="2">
        <v>15.750847</v>
      </c>
      <c r="K277" s="2">
        <v>19.6023</v>
      </c>
      <c r="L277" s="2" t="str">
        <f t="shared" si="12"/>
        <v>15–20°C</v>
      </c>
      <c r="M277" s="3">
        <v>76.083299999999994</v>
      </c>
      <c r="N277" s="3" t="str">
        <f t="shared" si="13"/>
        <v>60–80%</v>
      </c>
      <c r="O277" s="2">
        <v>5.5841685999999999</v>
      </c>
      <c r="P277" s="2" t="str">
        <f t="shared" si="14"/>
        <v>5–10 km/h</v>
      </c>
      <c r="Q277" s="2">
        <v>330</v>
      </c>
      <c r="R277" s="2">
        <v>3240</v>
      </c>
      <c r="S277" s="2">
        <v>3570</v>
      </c>
    </row>
    <row r="278" spans="1:19" x14ac:dyDescent="0.3">
      <c r="A278" s="2">
        <v>277</v>
      </c>
      <c r="B278" s="1">
        <v>43200</v>
      </c>
      <c r="C278" t="s">
        <v>906</v>
      </c>
      <c r="D278">
        <v>2018</v>
      </c>
      <c r="E278" t="s">
        <v>929</v>
      </c>
      <c r="F278" t="s">
        <v>908</v>
      </c>
      <c r="G278" t="s">
        <v>911</v>
      </c>
      <c r="H278" t="s">
        <v>909</v>
      </c>
      <c r="I278" t="s">
        <v>917</v>
      </c>
      <c r="J278" s="2">
        <v>19.850847000000002</v>
      </c>
      <c r="K278" s="2">
        <v>23.642900000000001</v>
      </c>
      <c r="L278" s="2" t="str">
        <f t="shared" si="12"/>
        <v>20–25°C</v>
      </c>
      <c r="M278" s="3">
        <v>71</v>
      </c>
      <c r="N278" s="3" t="str">
        <f t="shared" si="13"/>
        <v>60–80%</v>
      </c>
      <c r="O278" s="2">
        <v>13.792218</v>
      </c>
      <c r="P278" s="2" t="str">
        <f t="shared" si="14"/>
        <v>10–15 km/h</v>
      </c>
      <c r="Q278" s="2">
        <v>486</v>
      </c>
      <c r="R278" s="2">
        <v>3970</v>
      </c>
      <c r="S278" s="2">
        <v>4456</v>
      </c>
    </row>
    <row r="279" spans="1:19" x14ac:dyDescent="0.3">
      <c r="A279" s="2">
        <v>278</v>
      </c>
      <c r="B279" s="1">
        <v>43230</v>
      </c>
      <c r="C279" t="s">
        <v>906</v>
      </c>
      <c r="D279">
        <v>2018</v>
      </c>
      <c r="E279" t="s">
        <v>929</v>
      </c>
      <c r="F279" t="s">
        <v>908</v>
      </c>
      <c r="G279" t="s">
        <v>912</v>
      </c>
      <c r="H279" t="s">
        <v>909</v>
      </c>
      <c r="I279" t="s">
        <v>917</v>
      </c>
      <c r="J279" s="2">
        <v>22.071653000000001</v>
      </c>
      <c r="K279" s="2">
        <v>26.3569</v>
      </c>
      <c r="L279" s="2" t="str">
        <f t="shared" si="12"/>
        <v>25–30°C</v>
      </c>
      <c r="M279" s="3">
        <v>64.791700000000006</v>
      </c>
      <c r="N279" s="3" t="str">
        <f t="shared" si="13"/>
        <v>60–80%</v>
      </c>
      <c r="O279" s="2">
        <v>11.87575</v>
      </c>
      <c r="P279" s="2" t="str">
        <f t="shared" si="14"/>
        <v>10–15 km/h</v>
      </c>
      <c r="Q279" s="2">
        <v>559</v>
      </c>
      <c r="R279" s="2">
        <v>4267</v>
      </c>
      <c r="S279" s="2">
        <v>4826</v>
      </c>
    </row>
    <row r="280" spans="1:19" x14ac:dyDescent="0.3">
      <c r="A280" s="2">
        <v>279</v>
      </c>
      <c r="B280" s="1">
        <v>43261</v>
      </c>
      <c r="C280" t="s">
        <v>906</v>
      </c>
      <c r="D280">
        <v>2018</v>
      </c>
      <c r="E280" t="s">
        <v>929</v>
      </c>
      <c r="F280" t="s">
        <v>908</v>
      </c>
      <c r="G280" t="s">
        <v>913</v>
      </c>
      <c r="H280" t="s">
        <v>909</v>
      </c>
      <c r="I280" t="s">
        <v>917</v>
      </c>
      <c r="J280" s="2">
        <v>20.260846999999998</v>
      </c>
      <c r="K280" s="2">
        <v>24.021249999999998</v>
      </c>
      <c r="L280" s="2" t="str">
        <f t="shared" si="12"/>
        <v>20–25°C</v>
      </c>
      <c r="M280" s="3">
        <v>62.083300000000001</v>
      </c>
      <c r="N280" s="3" t="str">
        <f t="shared" si="13"/>
        <v>60–80%</v>
      </c>
      <c r="O280" s="2">
        <v>9.0419180000000008</v>
      </c>
      <c r="P280" s="2" t="str">
        <f t="shared" si="14"/>
        <v>5–10 km/h</v>
      </c>
      <c r="Q280" s="2">
        <v>639</v>
      </c>
      <c r="R280" s="2">
        <v>4126</v>
      </c>
      <c r="S280" s="2">
        <v>4765</v>
      </c>
    </row>
    <row r="281" spans="1:19" x14ac:dyDescent="0.3">
      <c r="A281" s="2">
        <v>280</v>
      </c>
      <c r="B281" s="1">
        <v>43291</v>
      </c>
      <c r="C281" t="s">
        <v>906</v>
      </c>
      <c r="D281">
        <v>2018</v>
      </c>
      <c r="E281" t="s">
        <v>929</v>
      </c>
      <c r="F281" t="s">
        <v>908</v>
      </c>
      <c r="G281" t="s">
        <v>914</v>
      </c>
      <c r="H281" t="s">
        <v>909</v>
      </c>
      <c r="I281" t="s">
        <v>917</v>
      </c>
      <c r="J281" s="2">
        <v>20.944153</v>
      </c>
      <c r="K281" s="2">
        <v>25.220199999999998</v>
      </c>
      <c r="L281" s="2" t="str">
        <f t="shared" si="12"/>
        <v>25–30°C</v>
      </c>
      <c r="M281" s="3">
        <v>68.416700000000006</v>
      </c>
      <c r="N281" s="3" t="str">
        <f t="shared" si="13"/>
        <v>60–80%</v>
      </c>
      <c r="O281" s="2">
        <v>1.5002439000000001</v>
      </c>
      <c r="P281" s="2" t="str">
        <f t="shared" si="14"/>
        <v>0–5 km/h</v>
      </c>
      <c r="Q281" s="2">
        <v>949</v>
      </c>
      <c r="R281" s="2">
        <v>4036</v>
      </c>
      <c r="S281" s="2">
        <v>4985</v>
      </c>
    </row>
    <row r="282" spans="1:19" x14ac:dyDescent="0.3">
      <c r="A282" s="2">
        <v>281</v>
      </c>
      <c r="B282" s="1">
        <v>43322</v>
      </c>
      <c r="C282" t="s">
        <v>906</v>
      </c>
      <c r="D282">
        <v>2018</v>
      </c>
      <c r="E282" t="s">
        <v>929</v>
      </c>
      <c r="F282" t="s">
        <v>908</v>
      </c>
      <c r="G282" t="s">
        <v>915</v>
      </c>
      <c r="H282" t="s">
        <v>908</v>
      </c>
      <c r="I282" t="s">
        <v>917</v>
      </c>
      <c r="J282" s="2">
        <v>21.388347</v>
      </c>
      <c r="K282" s="2">
        <v>25.662099999999999</v>
      </c>
      <c r="L282" s="2" t="str">
        <f t="shared" si="12"/>
        <v>25–30°C</v>
      </c>
      <c r="M282" s="3">
        <v>70.125</v>
      </c>
      <c r="N282" s="3" t="str">
        <f t="shared" si="13"/>
        <v>60–80%</v>
      </c>
      <c r="O282" s="2">
        <v>3.0420813999999998</v>
      </c>
      <c r="P282" s="2" t="str">
        <f t="shared" si="14"/>
        <v>0–5 km/h</v>
      </c>
      <c r="Q282" s="2">
        <v>2235</v>
      </c>
      <c r="R282" s="2">
        <v>3174</v>
      </c>
      <c r="S282" s="2">
        <v>5409</v>
      </c>
    </row>
    <row r="283" spans="1:19" x14ac:dyDescent="0.3">
      <c r="A283" s="2">
        <v>282</v>
      </c>
      <c r="B283" s="1">
        <v>43353</v>
      </c>
      <c r="C283" t="s">
        <v>906</v>
      </c>
      <c r="D283">
        <v>2018</v>
      </c>
      <c r="E283" t="s">
        <v>929</v>
      </c>
      <c r="F283" t="s">
        <v>908</v>
      </c>
      <c r="G283" t="s">
        <v>916</v>
      </c>
      <c r="H283" t="s">
        <v>908</v>
      </c>
      <c r="I283" t="s">
        <v>917</v>
      </c>
      <c r="J283" s="2">
        <v>22.174153</v>
      </c>
      <c r="K283" s="2">
        <v>26.199149999999999</v>
      </c>
      <c r="L283" s="2" t="str">
        <f t="shared" si="12"/>
        <v>25–30°C</v>
      </c>
      <c r="M283" s="3">
        <v>72.75</v>
      </c>
      <c r="N283" s="3" t="str">
        <f t="shared" si="13"/>
        <v>60–80%</v>
      </c>
      <c r="O283" s="2">
        <v>4.25115</v>
      </c>
      <c r="P283" s="2" t="str">
        <f t="shared" si="14"/>
        <v>0–5 km/h</v>
      </c>
      <c r="Q283" s="2">
        <v>2397</v>
      </c>
      <c r="R283" s="2">
        <v>3114</v>
      </c>
      <c r="S283" s="2">
        <v>5511</v>
      </c>
    </row>
    <row r="284" spans="1:19" x14ac:dyDescent="0.3">
      <c r="A284" s="2">
        <v>283</v>
      </c>
      <c r="B284" s="1">
        <v>43383</v>
      </c>
      <c r="C284" t="s">
        <v>906</v>
      </c>
      <c r="D284">
        <v>2018</v>
      </c>
      <c r="E284" t="s">
        <v>929</v>
      </c>
      <c r="F284" t="s">
        <v>909</v>
      </c>
      <c r="G284" t="s">
        <v>910</v>
      </c>
      <c r="H284" t="s">
        <v>908</v>
      </c>
      <c r="I284" t="s">
        <v>917</v>
      </c>
      <c r="J284" s="2">
        <v>23.404153000000001</v>
      </c>
      <c r="K284" s="2">
        <v>27.146249999999998</v>
      </c>
      <c r="L284" s="2" t="str">
        <f t="shared" si="12"/>
        <v>25–30°C</v>
      </c>
      <c r="M284" s="3">
        <v>73.375</v>
      </c>
      <c r="N284" s="3" t="str">
        <f t="shared" si="13"/>
        <v>60–80%</v>
      </c>
      <c r="O284" s="2">
        <v>2.8343813999999998</v>
      </c>
      <c r="P284" s="2" t="str">
        <f t="shared" si="14"/>
        <v>0–5 km/h</v>
      </c>
      <c r="Q284" s="2">
        <v>1514</v>
      </c>
      <c r="R284" s="2">
        <v>3603</v>
      </c>
      <c r="S284" s="2">
        <v>5117</v>
      </c>
    </row>
    <row r="285" spans="1:19" x14ac:dyDescent="0.3">
      <c r="A285" s="2">
        <v>284</v>
      </c>
      <c r="B285" s="1">
        <v>43414</v>
      </c>
      <c r="C285" t="s">
        <v>906</v>
      </c>
      <c r="D285">
        <v>2018</v>
      </c>
      <c r="E285" t="s">
        <v>929</v>
      </c>
      <c r="F285" t="s">
        <v>908</v>
      </c>
      <c r="G285" t="s">
        <v>911</v>
      </c>
      <c r="H285" t="s">
        <v>909</v>
      </c>
      <c r="I285" t="s">
        <v>918</v>
      </c>
      <c r="J285" s="2">
        <v>23.233346999999998</v>
      </c>
      <c r="K285" s="2">
        <v>27.3048</v>
      </c>
      <c r="L285" s="2" t="str">
        <f t="shared" si="12"/>
        <v>25–30°C</v>
      </c>
      <c r="M285" s="3">
        <v>80.875</v>
      </c>
      <c r="N285" s="3" t="str">
        <f t="shared" si="13"/>
        <v>80–100%</v>
      </c>
      <c r="O285" s="2">
        <v>9.5838140000000003</v>
      </c>
      <c r="P285" s="2" t="str">
        <f t="shared" si="14"/>
        <v>5–10 km/h</v>
      </c>
      <c r="Q285" s="2">
        <v>667</v>
      </c>
      <c r="R285" s="2">
        <v>3896</v>
      </c>
      <c r="S285" s="2">
        <v>4563</v>
      </c>
    </row>
    <row r="286" spans="1:19" x14ac:dyDescent="0.3">
      <c r="A286" s="2">
        <v>285</v>
      </c>
      <c r="B286" s="1">
        <v>43444</v>
      </c>
      <c r="C286" t="s">
        <v>906</v>
      </c>
      <c r="D286">
        <v>2018</v>
      </c>
      <c r="E286" t="s">
        <v>929</v>
      </c>
      <c r="F286" t="s">
        <v>908</v>
      </c>
      <c r="G286" t="s">
        <v>912</v>
      </c>
      <c r="H286" t="s">
        <v>909</v>
      </c>
      <c r="I286" t="s">
        <v>919</v>
      </c>
      <c r="J286" s="2">
        <v>22.276653</v>
      </c>
      <c r="K286" s="2">
        <v>25.885850000000001</v>
      </c>
      <c r="L286" s="2" t="str">
        <f t="shared" si="12"/>
        <v>25–30°C</v>
      </c>
      <c r="M286" s="3">
        <v>90.625</v>
      </c>
      <c r="N286" s="3" t="str">
        <f t="shared" si="13"/>
        <v>80–100%</v>
      </c>
      <c r="O286" s="2">
        <v>16.626049999999999</v>
      </c>
      <c r="P286" s="2" t="str">
        <f t="shared" si="14"/>
        <v>15–20 km/h</v>
      </c>
      <c r="Q286" s="2">
        <v>217</v>
      </c>
      <c r="R286" s="2">
        <v>2199</v>
      </c>
      <c r="S286" s="2">
        <v>2416</v>
      </c>
    </row>
    <row r="287" spans="1:19" x14ac:dyDescent="0.3">
      <c r="A287" s="2">
        <v>286</v>
      </c>
      <c r="B287" s="1" t="s">
        <v>626</v>
      </c>
      <c r="C287" t="s">
        <v>906</v>
      </c>
      <c r="D287">
        <v>2018</v>
      </c>
      <c r="E287" t="s">
        <v>929</v>
      </c>
      <c r="F287" t="s">
        <v>908</v>
      </c>
      <c r="G287" t="s">
        <v>913</v>
      </c>
      <c r="H287" t="s">
        <v>909</v>
      </c>
      <c r="I287" t="s">
        <v>918</v>
      </c>
      <c r="J287" s="2">
        <v>24.155847000000001</v>
      </c>
      <c r="K287" s="2">
        <v>27.590199999999999</v>
      </c>
      <c r="L287" s="2" t="str">
        <f t="shared" si="12"/>
        <v>25–30°C</v>
      </c>
      <c r="M287" s="3">
        <v>89.666700000000006</v>
      </c>
      <c r="N287" s="3" t="str">
        <f t="shared" si="13"/>
        <v>80–100%</v>
      </c>
      <c r="O287" s="2">
        <v>9.4997290000000003</v>
      </c>
      <c r="P287" s="2" t="str">
        <f t="shared" si="14"/>
        <v>5–10 km/h</v>
      </c>
      <c r="Q287" s="2">
        <v>290</v>
      </c>
      <c r="R287" s="2">
        <v>2623</v>
      </c>
      <c r="S287" s="2">
        <v>2913</v>
      </c>
    </row>
    <row r="288" spans="1:19" x14ac:dyDescent="0.3">
      <c r="A288" s="2">
        <v>287</v>
      </c>
      <c r="B288" s="1" t="s">
        <v>627</v>
      </c>
      <c r="C288" t="s">
        <v>906</v>
      </c>
      <c r="D288">
        <v>2018</v>
      </c>
      <c r="E288" t="s">
        <v>929</v>
      </c>
      <c r="F288" t="s">
        <v>908</v>
      </c>
      <c r="G288" t="s">
        <v>914</v>
      </c>
      <c r="H288" t="s">
        <v>909</v>
      </c>
      <c r="I288" t="s">
        <v>918</v>
      </c>
      <c r="J288" s="2">
        <v>22.584153000000001</v>
      </c>
      <c r="K288" s="2">
        <v>26.483750000000001</v>
      </c>
      <c r="L288" s="2" t="str">
        <f t="shared" si="12"/>
        <v>25–30°C</v>
      </c>
      <c r="M288" s="3">
        <v>71.625</v>
      </c>
      <c r="N288" s="3" t="str">
        <f t="shared" si="13"/>
        <v>60–80%</v>
      </c>
      <c r="O288" s="2">
        <v>15.000161</v>
      </c>
      <c r="P288" s="2" t="str">
        <f t="shared" si="14"/>
        <v>15–20 km/h</v>
      </c>
      <c r="Q288" s="2">
        <v>529</v>
      </c>
      <c r="R288" s="2">
        <v>3115</v>
      </c>
      <c r="S288" s="2">
        <v>3644</v>
      </c>
    </row>
    <row r="289" spans="1:19" x14ac:dyDescent="0.3">
      <c r="A289" s="2">
        <v>288</v>
      </c>
      <c r="B289" s="1" t="s">
        <v>628</v>
      </c>
      <c r="C289" t="s">
        <v>906</v>
      </c>
      <c r="D289">
        <v>2018</v>
      </c>
      <c r="E289" t="s">
        <v>929</v>
      </c>
      <c r="F289" t="s">
        <v>908</v>
      </c>
      <c r="G289" t="s">
        <v>915</v>
      </c>
      <c r="H289" t="s">
        <v>908</v>
      </c>
      <c r="I289" t="s">
        <v>917</v>
      </c>
      <c r="J289" s="2">
        <v>20.773347000000001</v>
      </c>
      <c r="K289" s="2">
        <v>24.936250000000001</v>
      </c>
      <c r="L289" s="2" t="str">
        <f t="shared" si="12"/>
        <v>20–25°C</v>
      </c>
      <c r="M289" s="3">
        <v>48.333300000000001</v>
      </c>
      <c r="N289" s="3" t="str">
        <f t="shared" si="13"/>
        <v>40–60%</v>
      </c>
      <c r="O289" s="2">
        <v>17.291561000000002</v>
      </c>
      <c r="P289" s="2" t="str">
        <f t="shared" si="14"/>
        <v>15–20 km/h</v>
      </c>
      <c r="Q289" s="2">
        <v>1899</v>
      </c>
      <c r="R289" s="2">
        <v>3318</v>
      </c>
      <c r="S289" s="2">
        <v>5217</v>
      </c>
    </row>
    <row r="290" spans="1:19" x14ac:dyDescent="0.3">
      <c r="A290" s="2">
        <v>289</v>
      </c>
      <c r="B290" s="1" t="s">
        <v>629</v>
      </c>
      <c r="C290" t="s">
        <v>906</v>
      </c>
      <c r="D290">
        <v>2018</v>
      </c>
      <c r="E290" t="s">
        <v>929</v>
      </c>
      <c r="F290" t="s">
        <v>908</v>
      </c>
      <c r="G290" t="s">
        <v>916</v>
      </c>
      <c r="H290" t="s">
        <v>908</v>
      </c>
      <c r="I290" t="s">
        <v>917</v>
      </c>
      <c r="J290" s="2">
        <v>20.978346999999999</v>
      </c>
      <c r="K290" s="2">
        <v>25.157699999999998</v>
      </c>
      <c r="L290" s="2" t="str">
        <f t="shared" si="12"/>
        <v>25–30°C</v>
      </c>
      <c r="M290" s="3">
        <v>48.666699999999999</v>
      </c>
      <c r="N290" s="3" t="str">
        <f t="shared" si="13"/>
        <v>40–60%</v>
      </c>
      <c r="O290" s="2">
        <v>18.875039000000001</v>
      </c>
      <c r="P290" s="2" t="str">
        <f t="shared" si="14"/>
        <v>15–20 km/h</v>
      </c>
      <c r="Q290" s="2">
        <v>1748</v>
      </c>
      <c r="R290" s="2">
        <v>3293</v>
      </c>
      <c r="S290" s="2">
        <v>5041</v>
      </c>
    </row>
    <row r="291" spans="1:19" x14ac:dyDescent="0.3">
      <c r="A291" s="2">
        <v>290</v>
      </c>
      <c r="B291" s="1" t="s">
        <v>630</v>
      </c>
      <c r="C291" t="s">
        <v>906</v>
      </c>
      <c r="D291">
        <v>2018</v>
      </c>
      <c r="E291" t="s">
        <v>929</v>
      </c>
      <c r="F291" t="s">
        <v>908</v>
      </c>
      <c r="G291" t="s">
        <v>910</v>
      </c>
      <c r="H291" t="s">
        <v>909</v>
      </c>
      <c r="I291" t="s">
        <v>917</v>
      </c>
      <c r="J291" s="2">
        <v>21.900846999999999</v>
      </c>
      <c r="K291" s="2">
        <v>25.536249999999999</v>
      </c>
      <c r="L291" s="2" t="str">
        <f t="shared" si="12"/>
        <v>25–30°C</v>
      </c>
      <c r="M291" s="3">
        <v>57.958300000000001</v>
      </c>
      <c r="N291" s="3" t="str">
        <f t="shared" si="13"/>
        <v>40–60%</v>
      </c>
      <c r="O291" s="2">
        <v>11.750393000000001</v>
      </c>
      <c r="P291" s="2" t="str">
        <f t="shared" si="14"/>
        <v>10–15 km/h</v>
      </c>
      <c r="Q291" s="2">
        <v>713</v>
      </c>
      <c r="R291" s="2">
        <v>3857</v>
      </c>
      <c r="S291" s="2">
        <v>4570</v>
      </c>
    </row>
    <row r="292" spans="1:19" x14ac:dyDescent="0.3">
      <c r="A292" s="2">
        <v>291</v>
      </c>
      <c r="B292" s="1" t="s">
        <v>631</v>
      </c>
      <c r="C292" t="s">
        <v>906</v>
      </c>
      <c r="D292">
        <v>2018</v>
      </c>
      <c r="E292" t="s">
        <v>929</v>
      </c>
      <c r="F292" t="s">
        <v>908</v>
      </c>
      <c r="G292" t="s">
        <v>911</v>
      </c>
      <c r="H292" t="s">
        <v>909</v>
      </c>
      <c r="I292" t="s">
        <v>918</v>
      </c>
      <c r="J292" s="2">
        <v>21.8325</v>
      </c>
      <c r="K292" s="2">
        <v>26.136050000000001</v>
      </c>
      <c r="L292" s="2" t="str">
        <f t="shared" si="12"/>
        <v>25–30°C</v>
      </c>
      <c r="M292" s="3">
        <v>70.166700000000006</v>
      </c>
      <c r="N292" s="3" t="str">
        <f t="shared" si="13"/>
        <v>60–80%</v>
      </c>
      <c r="O292" s="2">
        <v>7.3758290000000004</v>
      </c>
      <c r="P292" s="2" t="str">
        <f t="shared" si="14"/>
        <v>5–10 km/h</v>
      </c>
      <c r="Q292" s="2">
        <v>637</v>
      </c>
      <c r="R292" s="2">
        <v>4111</v>
      </c>
      <c r="S292" s="2">
        <v>4748</v>
      </c>
    </row>
    <row r="293" spans="1:19" x14ac:dyDescent="0.3">
      <c r="A293" s="2">
        <v>292</v>
      </c>
      <c r="B293" s="1" t="s">
        <v>632</v>
      </c>
      <c r="C293" t="s">
        <v>906</v>
      </c>
      <c r="D293">
        <v>2018</v>
      </c>
      <c r="E293" t="s">
        <v>929</v>
      </c>
      <c r="F293" t="s">
        <v>908</v>
      </c>
      <c r="G293" t="s">
        <v>912</v>
      </c>
      <c r="H293" t="s">
        <v>909</v>
      </c>
      <c r="I293" t="s">
        <v>919</v>
      </c>
      <c r="J293" s="2">
        <v>22.211299</v>
      </c>
      <c r="K293" s="2">
        <v>25.692399999999999</v>
      </c>
      <c r="L293" s="2" t="str">
        <f t="shared" si="12"/>
        <v>25–30°C</v>
      </c>
      <c r="M293" s="3">
        <v>89.521699999999996</v>
      </c>
      <c r="N293" s="3" t="str">
        <f t="shared" si="13"/>
        <v>80–100%</v>
      </c>
      <c r="O293" s="2">
        <v>16.303712999999998</v>
      </c>
      <c r="P293" s="2" t="str">
        <f t="shared" si="14"/>
        <v>15–20 km/h</v>
      </c>
      <c r="Q293" s="2">
        <v>254</v>
      </c>
      <c r="R293" s="2">
        <v>2170</v>
      </c>
      <c r="S293" s="2">
        <v>2424</v>
      </c>
    </row>
    <row r="294" spans="1:19" x14ac:dyDescent="0.3">
      <c r="A294" s="2">
        <v>293</v>
      </c>
      <c r="B294" s="1" t="s">
        <v>633</v>
      </c>
      <c r="C294" t="s">
        <v>906</v>
      </c>
      <c r="D294">
        <v>2018</v>
      </c>
      <c r="E294" t="s">
        <v>929</v>
      </c>
      <c r="F294" t="s">
        <v>908</v>
      </c>
      <c r="G294" t="s">
        <v>913</v>
      </c>
      <c r="H294" t="s">
        <v>909</v>
      </c>
      <c r="I294" t="s">
        <v>917</v>
      </c>
      <c r="J294" s="2">
        <v>19.509153000000001</v>
      </c>
      <c r="K294" s="2">
        <v>23.326250000000002</v>
      </c>
      <c r="L294" s="2" t="str">
        <f t="shared" si="12"/>
        <v>20–25°C</v>
      </c>
      <c r="M294" s="3">
        <v>63.625</v>
      </c>
      <c r="N294" s="3" t="str">
        <f t="shared" si="13"/>
        <v>60–80%</v>
      </c>
      <c r="O294" s="2">
        <v>28.292425000000001</v>
      </c>
      <c r="P294" s="2" t="str">
        <f t="shared" si="14"/>
        <v>25–30 km/h</v>
      </c>
      <c r="Q294" s="2">
        <v>471</v>
      </c>
      <c r="R294" s="2">
        <v>3724</v>
      </c>
      <c r="S294" s="2">
        <v>4195</v>
      </c>
    </row>
    <row r="295" spans="1:19" x14ac:dyDescent="0.3">
      <c r="A295" s="2">
        <v>294</v>
      </c>
      <c r="B295" s="1" t="s">
        <v>634</v>
      </c>
      <c r="C295" t="s">
        <v>906</v>
      </c>
      <c r="D295">
        <v>2018</v>
      </c>
      <c r="E295" t="s">
        <v>929</v>
      </c>
      <c r="F295" t="s">
        <v>908</v>
      </c>
      <c r="G295" t="s">
        <v>914</v>
      </c>
      <c r="H295" t="s">
        <v>909</v>
      </c>
      <c r="I295" t="s">
        <v>917</v>
      </c>
      <c r="J295" s="2">
        <v>17.5275</v>
      </c>
      <c r="K295" s="2">
        <v>21.1798</v>
      </c>
      <c r="L295" s="2" t="str">
        <f t="shared" si="12"/>
        <v>20–25°C</v>
      </c>
      <c r="M295" s="3">
        <v>57.416699999999999</v>
      </c>
      <c r="N295" s="3" t="str">
        <f t="shared" si="13"/>
        <v>40–60%</v>
      </c>
      <c r="O295" s="2">
        <v>14.833532</v>
      </c>
      <c r="P295" s="2" t="str">
        <f t="shared" si="14"/>
        <v>10–15 km/h</v>
      </c>
      <c r="Q295" s="2">
        <v>676</v>
      </c>
      <c r="R295" s="2">
        <v>3628</v>
      </c>
      <c r="S295" s="2">
        <v>4304</v>
      </c>
    </row>
    <row r="296" spans="1:19" x14ac:dyDescent="0.3">
      <c r="A296" s="2">
        <v>295</v>
      </c>
      <c r="B296" s="1" t="s">
        <v>635</v>
      </c>
      <c r="C296" t="s">
        <v>906</v>
      </c>
      <c r="D296">
        <v>2018</v>
      </c>
      <c r="E296" t="s">
        <v>929</v>
      </c>
      <c r="F296" t="s">
        <v>908</v>
      </c>
      <c r="G296" t="s">
        <v>915</v>
      </c>
      <c r="H296" t="s">
        <v>908</v>
      </c>
      <c r="I296" t="s">
        <v>917</v>
      </c>
      <c r="J296" s="2">
        <v>17.322500000000002</v>
      </c>
      <c r="K296" s="2">
        <v>21.2746</v>
      </c>
      <c r="L296" s="2" t="str">
        <f t="shared" si="12"/>
        <v>20–25°C</v>
      </c>
      <c r="M296" s="3">
        <v>62.916699999999999</v>
      </c>
      <c r="N296" s="3" t="str">
        <f t="shared" si="13"/>
        <v>60–80%</v>
      </c>
      <c r="O296" s="2">
        <v>6.2086689000000002</v>
      </c>
      <c r="P296" s="2" t="str">
        <f t="shared" si="14"/>
        <v>5–10 km/h</v>
      </c>
      <c r="Q296" s="2">
        <v>1499</v>
      </c>
      <c r="R296" s="2">
        <v>2809</v>
      </c>
      <c r="S296" s="2">
        <v>4308</v>
      </c>
    </row>
    <row r="297" spans="1:19" x14ac:dyDescent="0.3">
      <c r="A297" s="2">
        <v>296</v>
      </c>
      <c r="B297" s="1" t="s">
        <v>636</v>
      </c>
      <c r="C297" t="s">
        <v>906</v>
      </c>
      <c r="D297">
        <v>2018</v>
      </c>
      <c r="E297" t="s">
        <v>929</v>
      </c>
      <c r="F297" t="s">
        <v>908</v>
      </c>
      <c r="G297" t="s">
        <v>916</v>
      </c>
      <c r="H297" t="s">
        <v>908</v>
      </c>
      <c r="I297" t="s">
        <v>917</v>
      </c>
      <c r="J297" s="2">
        <v>17.288347000000002</v>
      </c>
      <c r="K297" s="2">
        <v>21.11665</v>
      </c>
      <c r="L297" s="2" t="str">
        <f t="shared" si="12"/>
        <v>20–25°C</v>
      </c>
      <c r="M297" s="3">
        <v>74.125</v>
      </c>
      <c r="N297" s="3" t="str">
        <f t="shared" si="13"/>
        <v>60–80%</v>
      </c>
      <c r="O297" s="2">
        <v>6.6673375000000004</v>
      </c>
      <c r="P297" s="2" t="str">
        <f t="shared" si="14"/>
        <v>5–10 km/h</v>
      </c>
      <c r="Q297" s="2">
        <v>1619</v>
      </c>
      <c r="R297" s="2">
        <v>2762</v>
      </c>
      <c r="S297" s="2">
        <v>4381</v>
      </c>
    </row>
    <row r="298" spans="1:19" x14ac:dyDescent="0.3">
      <c r="A298" s="2">
        <v>297</v>
      </c>
      <c r="B298" s="1" t="s">
        <v>637</v>
      </c>
      <c r="C298" t="s">
        <v>906</v>
      </c>
      <c r="D298">
        <v>2018</v>
      </c>
      <c r="E298" t="s">
        <v>929</v>
      </c>
      <c r="F298" t="s">
        <v>908</v>
      </c>
      <c r="G298" t="s">
        <v>910</v>
      </c>
      <c r="H298" t="s">
        <v>909</v>
      </c>
      <c r="I298" t="s">
        <v>917</v>
      </c>
      <c r="J298" s="2">
        <v>18.996652999999998</v>
      </c>
      <c r="K298" s="2">
        <v>22.853349999999999</v>
      </c>
      <c r="L298" s="2" t="str">
        <f t="shared" si="12"/>
        <v>20–25°C</v>
      </c>
      <c r="M298" s="3">
        <v>77.208299999999994</v>
      </c>
      <c r="N298" s="3" t="str">
        <f t="shared" si="13"/>
        <v>60–80%</v>
      </c>
      <c r="O298" s="2">
        <v>7.9590639999999997</v>
      </c>
      <c r="P298" s="2" t="str">
        <f t="shared" si="14"/>
        <v>5–10 km/h</v>
      </c>
      <c r="Q298" s="2">
        <v>699</v>
      </c>
      <c r="R298" s="2">
        <v>3488</v>
      </c>
      <c r="S298" s="2">
        <v>4187</v>
      </c>
    </row>
    <row r="299" spans="1:19" x14ac:dyDescent="0.3">
      <c r="A299" s="2">
        <v>298</v>
      </c>
      <c r="B299" s="1" t="s">
        <v>638</v>
      </c>
      <c r="C299" t="s">
        <v>906</v>
      </c>
      <c r="D299">
        <v>2018</v>
      </c>
      <c r="E299" t="s">
        <v>929</v>
      </c>
      <c r="F299" t="s">
        <v>908</v>
      </c>
      <c r="G299" t="s">
        <v>911</v>
      </c>
      <c r="H299" t="s">
        <v>909</v>
      </c>
      <c r="I299" t="s">
        <v>917</v>
      </c>
      <c r="J299" s="2">
        <v>19.338346999999999</v>
      </c>
      <c r="K299" s="2">
        <v>23.168749999999999</v>
      </c>
      <c r="L299" s="2" t="str">
        <f t="shared" si="12"/>
        <v>20–25°C</v>
      </c>
      <c r="M299" s="3">
        <v>62.291699999999999</v>
      </c>
      <c r="N299" s="3" t="str">
        <f t="shared" si="13"/>
        <v>60–80%</v>
      </c>
      <c r="O299" s="2">
        <v>11.166086</v>
      </c>
      <c r="P299" s="2" t="str">
        <f t="shared" si="14"/>
        <v>10–15 km/h</v>
      </c>
      <c r="Q299" s="2">
        <v>695</v>
      </c>
      <c r="R299" s="2">
        <v>3992</v>
      </c>
      <c r="S299" s="2">
        <v>4687</v>
      </c>
    </row>
    <row r="300" spans="1:19" x14ac:dyDescent="0.3">
      <c r="A300" s="2">
        <v>299</v>
      </c>
      <c r="B300" s="1" t="s">
        <v>639</v>
      </c>
      <c r="C300" t="s">
        <v>906</v>
      </c>
      <c r="D300">
        <v>2018</v>
      </c>
      <c r="E300" t="s">
        <v>929</v>
      </c>
      <c r="F300" t="s">
        <v>908</v>
      </c>
      <c r="G300" t="s">
        <v>912</v>
      </c>
      <c r="H300" t="s">
        <v>909</v>
      </c>
      <c r="I300" t="s">
        <v>918</v>
      </c>
      <c r="J300" s="2">
        <v>19.850847000000002</v>
      </c>
      <c r="K300" s="2">
        <v>23.642299999999999</v>
      </c>
      <c r="L300" s="2" t="str">
        <f t="shared" si="12"/>
        <v>20–25°C</v>
      </c>
      <c r="M300" s="3">
        <v>72.041700000000006</v>
      </c>
      <c r="N300" s="3" t="str">
        <f t="shared" si="13"/>
        <v>60–80%</v>
      </c>
      <c r="O300" s="2">
        <v>9.9590139999999998</v>
      </c>
      <c r="P300" s="2" t="str">
        <f t="shared" si="14"/>
        <v>5–10 km/h</v>
      </c>
      <c r="Q300" s="2">
        <v>404</v>
      </c>
      <c r="R300" s="2">
        <v>3490</v>
      </c>
      <c r="S300" s="2">
        <v>3894</v>
      </c>
    </row>
    <row r="301" spans="1:19" x14ac:dyDescent="0.3">
      <c r="A301" s="2">
        <v>300</v>
      </c>
      <c r="B301" s="1" t="s">
        <v>640</v>
      </c>
      <c r="C301" t="s">
        <v>906</v>
      </c>
      <c r="D301">
        <v>2018</v>
      </c>
      <c r="E301" t="s">
        <v>929</v>
      </c>
      <c r="F301" t="s">
        <v>908</v>
      </c>
      <c r="G301" t="s">
        <v>913</v>
      </c>
      <c r="H301" t="s">
        <v>909</v>
      </c>
      <c r="I301" t="s">
        <v>918</v>
      </c>
      <c r="J301" s="2">
        <v>19.27</v>
      </c>
      <c r="K301" s="2">
        <v>22.8523</v>
      </c>
      <c r="L301" s="2" t="str">
        <f t="shared" si="12"/>
        <v>20–25°C</v>
      </c>
      <c r="M301" s="3">
        <v>81.291700000000006</v>
      </c>
      <c r="N301" s="3" t="str">
        <f t="shared" si="13"/>
        <v>80–100%</v>
      </c>
      <c r="O301" s="2">
        <v>13.250121</v>
      </c>
      <c r="P301" s="2" t="str">
        <f t="shared" si="14"/>
        <v>10–15 km/h</v>
      </c>
      <c r="Q301" s="2">
        <v>240</v>
      </c>
      <c r="R301" s="2">
        <v>2419</v>
      </c>
      <c r="S301" s="2">
        <v>2659</v>
      </c>
    </row>
    <row r="302" spans="1:19" x14ac:dyDescent="0.3">
      <c r="A302" s="2">
        <v>301</v>
      </c>
      <c r="B302" s="1" t="s">
        <v>641</v>
      </c>
      <c r="C302" t="s">
        <v>906</v>
      </c>
      <c r="D302">
        <v>2018</v>
      </c>
      <c r="E302" t="s">
        <v>929</v>
      </c>
      <c r="F302" t="s">
        <v>908</v>
      </c>
      <c r="G302" t="s">
        <v>914</v>
      </c>
      <c r="H302" t="s">
        <v>909</v>
      </c>
      <c r="I302" t="s">
        <v>918</v>
      </c>
      <c r="J302" s="2">
        <v>13.564152999999999</v>
      </c>
      <c r="K302" s="2">
        <v>15.9406</v>
      </c>
      <c r="L302" s="2" t="str">
        <f t="shared" si="12"/>
        <v>15–20°C</v>
      </c>
      <c r="M302" s="3">
        <v>58.583300000000001</v>
      </c>
      <c r="N302" s="3" t="str">
        <f t="shared" si="13"/>
        <v>40–60%</v>
      </c>
      <c r="O302" s="2">
        <v>15.375093</v>
      </c>
      <c r="P302" s="2" t="str">
        <f t="shared" si="14"/>
        <v>15–20 km/h</v>
      </c>
      <c r="Q302" s="2">
        <v>456</v>
      </c>
      <c r="R302" s="2">
        <v>3291</v>
      </c>
      <c r="S302" s="2">
        <v>3747</v>
      </c>
    </row>
    <row r="303" spans="1:19" x14ac:dyDescent="0.3">
      <c r="A303" s="2">
        <v>302</v>
      </c>
      <c r="B303" s="1" t="s">
        <v>642</v>
      </c>
      <c r="C303" t="s">
        <v>906</v>
      </c>
      <c r="D303">
        <v>2018</v>
      </c>
      <c r="E303" t="s">
        <v>929</v>
      </c>
      <c r="F303" t="s">
        <v>908</v>
      </c>
      <c r="G303" t="s">
        <v>915</v>
      </c>
      <c r="H303" t="s">
        <v>908</v>
      </c>
      <c r="I303" t="s">
        <v>919</v>
      </c>
      <c r="J303" s="2">
        <v>10.420847</v>
      </c>
      <c r="K303" s="2">
        <v>11.39565</v>
      </c>
      <c r="L303" s="2" t="str">
        <f t="shared" si="12"/>
        <v>10–15°C</v>
      </c>
      <c r="M303" s="3">
        <v>88.25</v>
      </c>
      <c r="N303" s="3" t="str">
        <f t="shared" si="13"/>
        <v>80–100%</v>
      </c>
      <c r="O303" s="2">
        <v>23.541857</v>
      </c>
      <c r="P303" s="2" t="str">
        <f t="shared" si="14"/>
        <v>20–25 km/h</v>
      </c>
      <c r="Q303" s="2">
        <v>57</v>
      </c>
      <c r="R303" s="2">
        <v>570</v>
      </c>
      <c r="S303" s="2">
        <v>627</v>
      </c>
    </row>
    <row r="304" spans="1:19" x14ac:dyDescent="0.3">
      <c r="A304" s="2">
        <v>303</v>
      </c>
      <c r="B304" s="1" t="s">
        <v>643</v>
      </c>
      <c r="C304" t="s">
        <v>906</v>
      </c>
      <c r="D304">
        <v>2018</v>
      </c>
      <c r="E304" t="s">
        <v>929</v>
      </c>
      <c r="F304" t="s">
        <v>908</v>
      </c>
      <c r="G304" t="s">
        <v>916</v>
      </c>
      <c r="H304" t="s">
        <v>908</v>
      </c>
      <c r="I304" t="s">
        <v>917</v>
      </c>
      <c r="J304" s="2">
        <v>13.085846999999999</v>
      </c>
      <c r="K304" s="2">
        <v>16.06645</v>
      </c>
      <c r="L304" s="2" t="str">
        <f t="shared" si="12"/>
        <v>15–20°C</v>
      </c>
      <c r="M304" s="3">
        <v>62.375</v>
      </c>
      <c r="N304" s="3" t="str">
        <f t="shared" si="13"/>
        <v>60–80%</v>
      </c>
      <c r="O304" s="2">
        <v>11.833339</v>
      </c>
      <c r="P304" s="2" t="str">
        <f t="shared" si="14"/>
        <v>10–15 km/h</v>
      </c>
      <c r="Q304" s="2">
        <v>885</v>
      </c>
      <c r="R304" s="2">
        <v>2446</v>
      </c>
      <c r="S304" s="2">
        <v>3331</v>
      </c>
    </row>
    <row r="305" spans="1:19" x14ac:dyDescent="0.3">
      <c r="A305" s="2">
        <v>304</v>
      </c>
      <c r="B305" s="1" t="s">
        <v>644</v>
      </c>
      <c r="C305" t="s">
        <v>906</v>
      </c>
      <c r="D305">
        <v>2018</v>
      </c>
      <c r="E305" t="s">
        <v>929</v>
      </c>
      <c r="F305" t="s">
        <v>908</v>
      </c>
      <c r="G305" t="s">
        <v>910</v>
      </c>
      <c r="H305" t="s">
        <v>909</v>
      </c>
      <c r="I305" t="s">
        <v>917</v>
      </c>
      <c r="J305" s="2">
        <v>13.94</v>
      </c>
      <c r="K305" s="2">
        <v>17.803149999999999</v>
      </c>
      <c r="L305" s="2" t="str">
        <f t="shared" si="12"/>
        <v>15–20°C</v>
      </c>
      <c r="M305" s="3">
        <v>70.333299999999994</v>
      </c>
      <c r="N305" s="3" t="str">
        <f t="shared" si="13"/>
        <v>60–80%</v>
      </c>
      <c r="O305" s="2">
        <v>7.1254499999999998</v>
      </c>
      <c r="P305" s="2" t="str">
        <f t="shared" si="14"/>
        <v>5–10 km/h</v>
      </c>
      <c r="Q305" s="2">
        <v>362</v>
      </c>
      <c r="R305" s="2">
        <v>3307</v>
      </c>
      <c r="S305" s="2">
        <v>3669</v>
      </c>
    </row>
    <row r="306" spans="1:19" x14ac:dyDescent="0.3">
      <c r="A306" s="2">
        <v>305</v>
      </c>
      <c r="B306" s="1">
        <v>43111</v>
      </c>
      <c r="C306" t="s">
        <v>906</v>
      </c>
      <c r="D306">
        <v>2018</v>
      </c>
      <c r="E306" t="s">
        <v>930</v>
      </c>
      <c r="F306" t="s">
        <v>908</v>
      </c>
      <c r="G306" t="s">
        <v>911</v>
      </c>
      <c r="H306" t="s">
        <v>909</v>
      </c>
      <c r="I306" t="s">
        <v>917</v>
      </c>
      <c r="J306" s="2">
        <v>16.434152999999998</v>
      </c>
      <c r="K306" s="2">
        <v>19.854399999999998</v>
      </c>
      <c r="L306" s="2" t="str">
        <f t="shared" si="12"/>
        <v>15–20°C</v>
      </c>
      <c r="M306" s="3">
        <v>68.375</v>
      </c>
      <c r="N306" s="3" t="str">
        <f t="shared" si="13"/>
        <v>60–80%</v>
      </c>
      <c r="O306" s="2">
        <v>9.0832569999999997</v>
      </c>
      <c r="P306" s="2" t="str">
        <f t="shared" si="14"/>
        <v>5–10 km/h</v>
      </c>
      <c r="Q306" s="2">
        <v>410</v>
      </c>
      <c r="R306" s="2">
        <v>3658</v>
      </c>
      <c r="S306" s="2">
        <v>4068</v>
      </c>
    </row>
    <row r="307" spans="1:19" x14ac:dyDescent="0.3">
      <c r="A307" s="2">
        <v>306</v>
      </c>
      <c r="B307" s="1">
        <v>43142</v>
      </c>
      <c r="C307" t="s">
        <v>906</v>
      </c>
      <c r="D307">
        <v>2018</v>
      </c>
      <c r="E307" t="s">
        <v>930</v>
      </c>
      <c r="F307" t="s">
        <v>908</v>
      </c>
      <c r="G307" t="s">
        <v>912</v>
      </c>
      <c r="H307" t="s">
        <v>909</v>
      </c>
      <c r="I307" t="s">
        <v>917</v>
      </c>
      <c r="J307" s="2">
        <v>15.477499999999999</v>
      </c>
      <c r="K307" s="2">
        <v>19.50665</v>
      </c>
      <c r="L307" s="2" t="str">
        <f t="shared" si="12"/>
        <v>15–20°C</v>
      </c>
      <c r="M307" s="3">
        <v>71.875</v>
      </c>
      <c r="N307" s="3" t="str">
        <f t="shared" si="13"/>
        <v>60–80%</v>
      </c>
      <c r="O307" s="2">
        <v>5.5001439000000003</v>
      </c>
      <c r="P307" s="2" t="str">
        <f t="shared" si="14"/>
        <v>5–10 km/h</v>
      </c>
      <c r="Q307" s="2">
        <v>370</v>
      </c>
      <c r="R307" s="2">
        <v>3816</v>
      </c>
      <c r="S307" s="2">
        <v>4186</v>
      </c>
    </row>
    <row r="308" spans="1:19" x14ac:dyDescent="0.3">
      <c r="A308" s="2">
        <v>307</v>
      </c>
      <c r="B308" s="1">
        <v>43170</v>
      </c>
      <c r="C308" t="s">
        <v>906</v>
      </c>
      <c r="D308">
        <v>2018</v>
      </c>
      <c r="E308" t="s">
        <v>930</v>
      </c>
      <c r="F308" t="s">
        <v>908</v>
      </c>
      <c r="G308" t="s">
        <v>913</v>
      </c>
      <c r="H308" t="s">
        <v>909</v>
      </c>
      <c r="I308" t="s">
        <v>917</v>
      </c>
      <c r="J308" s="2">
        <v>16.741652999999999</v>
      </c>
      <c r="K308" s="2">
        <v>20.296050000000001</v>
      </c>
      <c r="L308" s="2" t="str">
        <f t="shared" si="12"/>
        <v>20–25°C</v>
      </c>
      <c r="M308" s="3">
        <v>70.208299999999994</v>
      </c>
      <c r="N308" s="3" t="str">
        <f t="shared" si="13"/>
        <v>60–80%</v>
      </c>
      <c r="O308" s="2">
        <v>9.1667389999999997</v>
      </c>
      <c r="P308" s="2" t="str">
        <f t="shared" si="14"/>
        <v>5–10 km/h</v>
      </c>
      <c r="Q308" s="2">
        <v>318</v>
      </c>
      <c r="R308" s="2">
        <v>3656</v>
      </c>
      <c r="S308" s="2">
        <v>3974</v>
      </c>
    </row>
    <row r="309" spans="1:19" x14ac:dyDescent="0.3">
      <c r="A309" s="2">
        <v>308</v>
      </c>
      <c r="B309" s="1">
        <v>43201</v>
      </c>
      <c r="C309" t="s">
        <v>906</v>
      </c>
      <c r="D309">
        <v>2018</v>
      </c>
      <c r="E309" t="s">
        <v>930</v>
      </c>
      <c r="F309" t="s">
        <v>908</v>
      </c>
      <c r="G309" t="s">
        <v>914</v>
      </c>
      <c r="H309" t="s">
        <v>909</v>
      </c>
      <c r="I309" t="s">
        <v>918</v>
      </c>
      <c r="J309" s="2">
        <v>16.536653000000001</v>
      </c>
      <c r="K309" s="2">
        <v>20.169599999999999</v>
      </c>
      <c r="L309" s="2" t="str">
        <f t="shared" si="12"/>
        <v>20–25°C</v>
      </c>
      <c r="M309" s="3">
        <v>62.25</v>
      </c>
      <c r="N309" s="3" t="str">
        <f t="shared" si="13"/>
        <v>60–80%</v>
      </c>
      <c r="O309" s="2">
        <v>18.209192999999999</v>
      </c>
      <c r="P309" s="2" t="str">
        <f t="shared" si="14"/>
        <v>15–20 km/h</v>
      </c>
      <c r="Q309" s="2">
        <v>470</v>
      </c>
      <c r="R309" s="2">
        <v>3576</v>
      </c>
      <c r="S309" s="2">
        <v>4046</v>
      </c>
    </row>
    <row r="310" spans="1:19" x14ac:dyDescent="0.3">
      <c r="A310" s="2">
        <v>309</v>
      </c>
      <c r="B310" s="1">
        <v>43231</v>
      </c>
      <c r="C310" t="s">
        <v>906</v>
      </c>
      <c r="D310">
        <v>2018</v>
      </c>
      <c r="E310" t="s">
        <v>930</v>
      </c>
      <c r="F310" t="s">
        <v>908</v>
      </c>
      <c r="G310" t="s">
        <v>915</v>
      </c>
      <c r="H310" t="s">
        <v>908</v>
      </c>
      <c r="I310" t="s">
        <v>917</v>
      </c>
      <c r="J310" s="2">
        <v>13.393347</v>
      </c>
      <c r="K310" s="2">
        <v>16.192699999999999</v>
      </c>
      <c r="L310" s="2" t="str">
        <f t="shared" si="12"/>
        <v>15–20°C</v>
      </c>
      <c r="M310" s="3">
        <v>51.916699999999999</v>
      </c>
      <c r="N310" s="3" t="str">
        <f t="shared" si="13"/>
        <v>40–60%</v>
      </c>
      <c r="O310" s="2">
        <v>12.667154</v>
      </c>
      <c r="P310" s="2" t="str">
        <f t="shared" si="14"/>
        <v>10–15 km/h</v>
      </c>
      <c r="Q310" s="2">
        <v>1156</v>
      </c>
      <c r="R310" s="2">
        <v>2770</v>
      </c>
      <c r="S310" s="2">
        <v>3926</v>
      </c>
    </row>
    <row r="311" spans="1:19" x14ac:dyDescent="0.3">
      <c r="A311" s="2">
        <v>310</v>
      </c>
      <c r="B311" s="1">
        <v>43262</v>
      </c>
      <c r="C311" t="s">
        <v>906</v>
      </c>
      <c r="D311">
        <v>2018</v>
      </c>
      <c r="E311" t="s">
        <v>930</v>
      </c>
      <c r="F311" t="s">
        <v>908</v>
      </c>
      <c r="G311" t="s">
        <v>916</v>
      </c>
      <c r="H311" t="s">
        <v>908</v>
      </c>
      <c r="I311" t="s">
        <v>917</v>
      </c>
      <c r="J311" s="2">
        <v>14.281653</v>
      </c>
      <c r="K311" s="2">
        <v>18.117899999999999</v>
      </c>
      <c r="L311" s="2" t="str">
        <f t="shared" si="12"/>
        <v>15–20°C</v>
      </c>
      <c r="M311" s="3">
        <v>73.458299999999994</v>
      </c>
      <c r="N311" s="3" t="str">
        <f t="shared" si="13"/>
        <v>60–80%</v>
      </c>
      <c r="O311" s="2">
        <v>6.1676314000000003</v>
      </c>
      <c r="P311" s="2" t="str">
        <f t="shared" si="14"/>
        <v>5–10 km/h</v>
      </c>
      <c r="Q311" s="2">
        <v>952</v>
      </c>
      <c r="R311" s="2">
        <v>2697</v>
      </c>
      <c r="S311" s="2">
        <v>3649</v>
      </c>
    </row>
    <row r="312" spans="1:19" x14ac:dyDescent="0.3">
      <c r="A312" s="2">
        <v>311</v>
      </c>
      <c r="B312" s="1">
        <v>43292</v>
      </c>
      <c r="C312" t="s">
        <v>906</v>
      </c>
      <c r="D312">
        <v>2018</v>
      </c>
      <c r="E312" t="s">
        <v>930</v>
      </c>
      <c r="F312" t="s">
        <v>908</v>
      </c>
      <c r="G312" t="s">
        <v>910</v>
      </c>
      <c r="H312" t="s">
        <v>909</v>
      </c>
      <c r="I312" t="s">
        <v>917</v>
      </c>
      <c r="J312" s="2">
        <v>16.195</v>
      </c>
      <c r="K312" s="2">
        <v>20.04355</v>
      </c>
      <c r="L312" s="2" t="str">
        <f t="shared" si="12"/>
        <v>20–25°C</v>
      </c>
      <c r="M312" s="3">
        <v>75.875</v>
      </c>
      <c r="N312" s="3" t="str">
        <f t="shared" si="13"/>
        <v>60–80%</v>
      </c>
      <c r="O312" s="2">
        <v>3.8340749999999999</v>
      </c>
      <c r="P312" s="2" t="str">
        <f t="shared" si="14"/>
        <v>0–5 km/h</v>
      </c>
      <c r="Q312" s="2">
        <v>373</v>
      </c>
      <c r="R312" s="2">
        <v>3662</v>
      </c>
      <c r="S312" s="2">
        <v>4035</v>
      </c>
    </row>
    <row r="313" spans="1:19" x14ac:dyDescent="0.3">
      <c r="A313" s="2">
        <v>312</v>
      </c>
      <c r="B313" s="1">
        <v>43323</v>
      </c>
      <c r="C313" t="s">
        <v>906</v>
      </c>
      <c r="D313">
        <v>2018</v>
      </c>
      <c r="E313" t="s">
        <v>930</v>
      </c>
      <c r="F313" t="s">
        <v>908</v>
      </c>
      <c r="G313" t="s">
        <v>911</v>
      </c>
      <c r="H313" t="s">
        <v>909</v>
      </c>
      <c r="I313" t="s">
        <v>917</v>
      </c>
      <c r="J313" s="2">
        <v>16.741652999999999</v>
      </c>
      <c r="K313" s="2">
        <v>20.612300000000001</v>
      </c>
      <c r="L313" s="2" t="str">
        <f t="shared" si="12"/>
        <v>20–25°C</v>
      </c>
      <c r="M313" s="3">
        <v>72.166700000000006</v>
      </c>
      <c r="N313" s="3" t="str">
        <f t="shared" si="13"/>
        <v>60–80%</v>
      </c>
      <c r="O313" s="2">
        <v>4.6255125000000001</v>
      </c>
      <c r="P313" s="2" t="str">
        <f t="shared" si="14"/>
        <v>0–5 km/h</v>
      </c>
      <c r="Q313" s="2">
        <v>376</v>
      </c>
      <c r="R313" s="2">
        <v>3829</v>
      </c>
      <c r="S313" s="2">
        <v>4205</v>
      </c>
    </row>
    <row r="314" spans="1:19" x14ac:dyDescent="0.3">
      <c r="A314" s="2">
        <v>313</v>
      </c>
      <c r="B314" s="1">
        <v>43354</v>
      </c>
      <c r="C314" t="s">
        <v>906</v>
      </c>
      <c r="D314">
        <v>2018</v>
      </c>
      <c r="E314" t="s">
        <v>930</v>
      </c>
      <c r="F314" t="s">
        <v>908</v>
      </c>
      <c r="G314" t="s">
        <v>912</v>
      </c>
      <c r="H314" t="s">
        <v>909</v>
      </c>
      <c r="I314" t="s">
        <v>917</v>
      </c>
      <c r="J314" s="2">
        <v>16.399999999999999</v>
      </c>
      <c r="K314" s="2">
        <v>20.453949999999999</v>
      </c>
      <c r="L314" s="2" t="str">
        <f t="shared" si="12"/>
        <v>20–25°C</v>
      </c>
      <c r="M314" s="3">
        <v>75.833299999999994</v>
      </c>
      <c r="N314" s="3" t="str">
        <f t="shared" si="13"/>
        <v>60–80%</v>
      </c>
      <c r="O314" s="2">
        <v>4.1671186000000002</v>
      </c>
      <c r="P314" s="2" t="str">
        <f t="shared" si="14"/>
        <v>0–5 km/h</v>
      </c>
      <c r="Q314" s="2">
        <v>305</v>
      </c>
      <c r="R314" s="2">
        <v>3804</v>
      </c>
      <c r="S314" s="2">
        <v>4109</v>
      </c>
    </row>
    <row r="315" spans="1:19" x14ac:dyDescent="0.3">
      <c r="A315" s="2">
        <v>314</v>
      </c>
      <c r="B315" s="1">
        <v>43384</v>
      </c>
      <c r="C315" t="s">
        <v>906</v>
      </c>
      <c r="D315">
        <v>2018</v>
      </c>
      <c r="E315" t="s">
        <v>930</v>
      </c>
      <c r="F315" t="s">
        <v>908</v>
      </c>
      <c r="G315" t="s">
        <v>913</v>
      </c>
      <c r="H315" t="s">
        <v>909</v>
      </c>
      <c r="I315" t="s">
        <v>918</v>
      </c>
      <c r="J315" s="2">
        <v>15.58</v>
      </c>
      <c r="K315" s="2">
        <v>18.686050000000002</v>
      </c>
      <c r="L315" s="2" t="str">
        <f t="shared" si="12"/>
        <v>15–20°C</v>
      </c>
      <c r="M315" s="3">
        <v>81.333299999999994</v>
      </c>
      <c r="N315" s="3" t="str">
        <f t="shared" si="13"/>
        <v>80–100%</v>
      </c>
      <c r="O315" s="2">
        <v>12.667489</v>
      </c>
      <c r="P315" s="2" t="str">
        <f t="shared" si="14"/>
        <v>10–15 km/h</v>
      </c>
      <c r="Q315" s="2">
        <v>190</v>
      </c>
      <c r="R315" s="2">
        <v>2743</v>
      </c>
      <c r="S315" s="2">
        <v>2933</v>
      </c>
    </row>
    <row r="316" spans="1:19" x14ac:dyDescent="0.3">
      <c r="A316" s="2">
        <v>315</v>
      </c>
      <c r="B316" s="1">
        <v>43415</v>
      </c>
      <c r="C316" t="s">
        <v>906</v>
      </c>
      <c r="D316">
        <v>2018</v>
      </c>
      <c r="E316" t="s">
        <v>930</v>
      </c>
      <c r="F316" t="s">
        <v>909</v>
      </c>
      <c r="G316" t="s">
        <v>914</v>
      </c>
      <c r="H316" t="s">
        <v>908</v>
      </c>
      <c r="I316" t="s">
        <v>917</v>
      </c>
      <c r="J316" s="2">
        <v>13.290846999999999</v>
      </c>
      <c r="K316" s="2">
        <v>15.34085</v>
      </c>
      <c r="L316" s="2" t="str">
        <f t="shared" si="12"/>
        <v>15–20°C</v>
      </c>
      <c r="M316" s="3">
        <v>44.625</v>
      </c>
      <c r="N316" s="3" t="str">
        <f t="shared" si="13"/>
        <v>40–60%</v>
      </c>
      <c r="O316" s="2">
        <v>21.083224999999999</v>
      </c>
      <c r="P316" s="2" t="str">
        <f t="shared" si="14"/>
        <v>20–25 km/h</v>
      </c>
      <c r="Q316" s="2">
        <v>440</v>
      </c>
      <c r="R316" s="2">
        <v>2928</v>
      </c>
      <c r="S316" s="2">
        <v>3368</v>
      </c>
    </row>
    <row r="317" spans="1:19" x14ac:dyDescent="0.3">
      <c r="A317" s="2">
        <v>316</v>
      </c>
      <c r="B317" s="1">
        <v>43445</v>
      </c>
      <c r="C317" t="s">
        <v>906</v>
      </c>
      <c r="D317">
        <v>2018</v>
      </c>
      <c r="E317" t="s">
        <v>930</v>
      </c>
      <c r="F317" t="s">
        <v>908</v>
      </c>
      <c r="G317" t="s">
        <v>915</v>
      </c>
      <c r="H317" t="s">
        <v>908</v>
      </c>
      <c r="I317" t="s">
        <v>917</v>
      </c>
      <c r="J317" s="2">
        <v>14.623347000000001</v>
      </c>
      <c r="K317" s="2">
        <v>17.897099999999998</v>
      </c>
      <c r="L317" s="2" t="str">
        <f t="shared" si="12"/>
        <v>15–20°C</v>
      </c>
      <c r="M317" s="3">
        <v>55.291699999999999</v>
      </c>
      <c r="N317" s="3" t="str">
        <f t="shared" si="13"/>
        <v>40–60%</v>
      </c>
      <c r="O317" s="2">
        <v>14.208154</v>
      </c>
      <c r="P317" s="2" t="str">
        <f t="shared" si="14"/>
        <v>10–15 km/h</v>
      </c>
      <c r="Q317" s="2">
        <v>1275</v>
      </c>
      <c r="R317" s="2">
        <v>2792</v>
      </c>
      <c r="S317" s="2">
        <v>4067</v>
      </c>
    </row>
    <row r="318" spans="1:19" x14ac:dyDescent="0.3">
      <c r="A318" s="2">
        <v>317</v>
      </c>
      <c r="B318" s="1" t="s">
        <v>645</v>
      </c>
      <c r="C318" t="s">
        <v>906</v>
      </c>
      <c r="D318">
        <v>2018</v>
      </c>
      <c r="E318" t="s">
        <v>930</v>
      </c>
      <c r="F318" t="s">
        <v>908</v>
      </c>
      <c r="G318" t="s">
        <v>916</v>
      </c>
      <c r="H318" t="s">
        <v>908</v>
      </c>
      <c r="I318" t="s">
        <v>917</v>
      </c>
      <c r="J318" s="2">
        <v>18.074152999999999</v>
      </c>
      <c r="K318" s="2">
        <v>21.5275</v>
      </c>
      <c r="L318" s="2" t="str">
        <f t="shared" si="12"/>
        <v>20–25°C</v>
      </c>
      <c r="M318" s="3">
        <v>45.833300000000001</v>
      </c>
      <c r="N318" s="3" t="str">
        <f t="shared" si="13"/>
        <v>40–60%</v>
      </c>
      <c r="O318" s="2">
        <v>18.875306999999999</v>
      </c>
      <c r="P318" s="2" t="str">
        <f t="shared" si="14"/>
        <v>15–20 km/h</v>
      </c>
      <c r="Q318" s="2">
        <v>1004</v>
      </c>
      <c r="R318" s="2">
        <v>2713</v>
      </c>
      <c r="S318" s="2">
        <v>3717</v>
      </c>
    </row>
    <row r="319" spans="1:19" x14ac:dyDescent="0.3">
      <c r="A319" s="2">
        <v>318</v>
      </c>
      <c r="B319" s="1" t="s">
        <v>646</v>
      </c>
      <c r="C319" t="s">
        <v>906</v>
      </c>
      <c r="D319">
        <v>2018</v>
      </c>
      <c r="E319" t="s">
        <v>930</v>
      </c>
      <c r="F319" t="s">
        <v>908</v>
      </c>
      <c r="G319" t="s">
        <v>910</v>
      </c>
      <c r="H319" t="s">
        <v>909</v>
      </c>
      <c r="I319" t="s">
        <v>917</v>
      </c>
      <c r="J319" s="2">
        <v>21.73</v>
      </c>
      <c r="K319" s="2">
        <v>26.230599999999999</v>
      </c>
      <c r="L319" s="2" t="str">
        <f t="shared" si="12"/>
        <v>25–30°C</v>
      </c>
      <c r="M319" s="3">
        <v>58.708300000000001</v>
      </c>
      <c r="N319" s="3" t="str">
        <f t="shared" si="13"/>
        <v>40–60%</v>
      </c>
      <c r="O319" s="2">
        <v>20.541931999999999</v>
      </c>
      <c r="P319" s="2" t="str">
        <f t="shared" si="14"/>
        <v>20–25 km/h</v>
      </c>
      <c r="Q319" s="2">
        <v>595</v>
      </c>
      <c r="R319" s="2">
        <v>3891</v>
      </c>
      <c r="S319" s="2">
        <v>4486</v>
      </c>
    </row>
    <row r="320" spans="1:19" x14ac:dyDescent="0.3">
      <c r="A320" s="2">
        <v>319</v>
      </c>
      <c r="B320" s="1" t="s">
        <v>647</v>
      </c>
      <c r="C320" t="s">
        <v>906</v>
      </c>
      <c r="D320">
        <v>2018</v>
      </c>
      <c r="E320" t="s">
        <v>930</v>
      </c>
      <c r="F320" t="s">
        <v>908</v>
      </c>
      <c r="G320" t="s">
        <v>911</v>
      </c>
      <c r="H320" t="s">
        <v>909</v>
      </c>
      <c r="I320" t="s">
        <v>918</v>
      </c>
      <c r="J320" s="2">
        <v>21.73</v>
      </c>
      <c r="K320" s="2">
        <v>25.37895</v>
      </c>
      <c r="L320" s="2" t="str">
        <f t="shared" si="12"/>
        <v>25–30°C</v>
      </c>
      <c r="M320" s="3">
        <v>68.875</v>
      </c>
      <c r="N320" s="3" t="str">
        <f t="shared" si="13"/>
        <v>60–80%</v>
      </c>
      <c r="O320" s="2">
        <v>13.375411</v>
      </c>
      <c r="P320" s="2" t="str">
        <f t="shared" si="14"/>
        <v>10–15 km/h</v>
      </c>
      <c r="Q320" s="2">
        <v>449</v>
      </c>
      <c r="R320" s="2">
        <v>3746</v>
      </c>
      <c r="S320" s="2">
        <v>4195</v>
      </c>
    </row>
    <row r="321" spans="1:19" x14ac:dyDescent="0.3">
      <c r="A321" s="2">
        <v>320</v>
      </c>
      <c r="B321" s="1" t="s">
        <v>648</v>
      </c>
      <c r="C321" t="s">
        <v>906</v>
      </c>
      <c r="D321">
        <v>2018</v>
      </c>
      <c r="E321" t="s">
        <v>930</v>
      </c>
      <c r="F321" t="s">
        <v>908</v>
      </c>
      <c r="G321" t="s">
        <v>912</v>
      </c>
      <c r="H321" t="s">
        <v>909</v>
      </c>
      <c r="I321" t="s">
        <v>919</v>
      </c>
      <c r="J321" s="2">
        <v>18.723347</v>
      </c>
      <c r="K321" s="2">
        <v>22.599399999999999</v>
      </c>
      <c r="L321" s="2" t="str">
        <f t="shared" si="12"/>
        <v>20–25°C</v>
      </c>
      <c r="M321" s="3">
        <v>93</v>
      </c>
      <c r="N321" s="3" t="str">
        <f t="shared" si="13"/>
        <v>80–100%</v>
      </c>
      <c r="O321" s="2">
        <v>9.1675430000000002</v>
      </c>
      <c r="P321" s="2" t="str">
        <f t="shared" si="14"/>
        <v>5–10 km/h</v>
      </c>
      <c r="Q321" s="2">
        <v>145</v>
      </c>
      <c r="R321" s="2">
        <v>1672</v>
      </c>
      <c r="S321" s="2">
        <v>1817</v>
      </c>
    </row>
    <row r="322" spans="1:19" x14ac:dyDescent="0.3">
      <c r="A322" s="2">
        <v>321</v>
      </c>
      <c r="B322" s="1" t="s">
        <v>649</v>
      </c>
      <c r="C322" t="s">
        <v>906</v>
      </c>
      <c r="D322">
        <v>2018</v>
      </c>
      <c r="E322" t="s">
        <v>930</v>
      </c>
      <c r="F322" t="s">
        <v>908</v>
      </c>
      <c r="G322" t="s">
        <v>913</v>
      </c>
      <c r="H322" t="s">
        <v>909</v>
      </c>
      <c r="I322" t="s">
        <v>918</v>
      </c>
      <c r="J322" s="2">
        <v>14.008347000000001</v>
      </c>
      <c r="K322" s="2">
        <v>16.161049999999999</v>
      </c>
      <c r="L322" s="2" t="str">
        <f t="shared" ref="L322:L385" si="15">FLOOR(K322,5)&amp;"–"&amp;FLOOR(K322,5)+5&amp;"°C"</f>
        <v>15–20°C</v>
      </c>
      <c r="M322" s="3">
        <v>57.583300000000001</v>
      </c>
      <c r="N322" s="3" t="str">
        <f t="shared" ref="N322:N385" si="16">FLOOR(M322,20)&amp;"–"&amp;FLOOR(M322,20)+20&amp;"%"</f>
        <v>40–60%</v>
      </c>
      <c r="O322" s="2">
        <v>20.459254000000001</v>
      </c>
      <c r="P322" s="2" t="str">
        <f t="shared" ref="P322:P385" si="17">FLOOR(O322,5)&amp;"–"&amp;FLOOR(O322,5)+5&amp;" km/h"</f>
        <v>20–25 km/h</v>
      </c>
      <c r="Q322" s="2">
        <v>139</v>
      </c>
      <c r="R322" s="2">
        <v>2914</v>
      </c>
      <c r="S322" s="2">
        <v>3053</v>
      </c>
    </row>
    <row r="323" spans="1:19" x14ac:dyDescent="0.3">
      <c r="A323" s="2">
        <v>322</v>
      </c>
      <c r="B323" s="1" t="s">
        <v>650</v>
      </c>
      <c r="C323" t="s">
        <v>906</v>
      </c>
      <c r="D323">
        <v>2018</v>
      </c>
      <c r="E323" t="s">
        <v>930</v>
      </c>
      <c r="F323" t="s">
        <v>908</v>
      </c>
      <c r="G323" t="s">
        <v>914</v>
      </c>
      <c r="H323" t="s">
        <v>909</v>
      </c>
      <c r="I323" t="s">
        <v>917</v>
      </c>
      <c r="J323" s="2">
        <v>11.240847</v>
      </c>
      <c r="K323" s="2">
        <v>13.636049999999999</v>
      </c>
      <c r="L323" s="2" t="str">
        <f t="shared" si="15"/>
        <v>10–15°C</v>
      </c>
      <c r="M323" s="3">
        <v>41</v>
      </c>
      <c r="N323" s="3" t="str">
        <f t="shared" si="16"/>
        <v>40–60%</v>
      </c>
      <c r="O323" s="2">
        <v>11.291710999999999</v>
      </c>
      <c r="P323" s="2" t="str">
        <f t="shared" si="17"/>
        <v>10–15 km/h</v>
      </c>
      <c r="Q323" s="2">
        <v>245</v>
      </c>
      <c r="R323" s="2">
        <v>3147</v>
      </c>
      <c r="S323" s="2">
        <v>3392</v>
      </c>
    </row>
    <row r="324" spans="1:19" x14ac:dyDescent="0.3">
      <c r="A324" s="2">
        <v>323</v>
      </c>
      <c r="B324" s="1" t="s">
        <v>651</v>
      </c>
      <c r="C324" t="s">
        <v>906</v>
      </c>
      <c r="D324">
        <v>2018</v>
      </c>
      <c r="E324" t="s">
        <v>930</v>
      </c>
      <c r="F324" t="s">
        <v>908</v>
      </c>
      <c r="G324" t="s">
        <v>915</v>
      </c>
      <c r="H324" t="s">
        <v>908</v>
      </c>
      <c r="I324" t="s">
        <v>917</v>
      </c>
      <c r="J324" s="2">
        <v>13.495846999999999</v>
      </c>
      <c r="K324" s="2">
        <v>16.224150000000002</v>
      </c>
      <c r="L324" s="2" t="str">
        <f t="shared" si="15"/>
        <v>15–20°C</v>
      </c>
      <c r="M324" s="3">
        <v>50.208300000000001</v>
      </c>
      <c r="N324" s="3" t="str">
        <f t="shared" si="16"/>
        <v>40–60%</v>
      </c>
      <c r="O324" s="2">
        <v>15.041232000000001</v>
      </c>
      <c r="P324" s="2" t="str">
        <f t="shared" si="17"/>
        <v>15–20 km/h</v>
      </c>
      <c r="Q324" s="2">
        <v>943</v>
      </c>
      <c r="R324" s="2">
        <v>2720</v>
      </c>
      <c r="S324" s="2">
        <v>3663</v>
      </c>
    </row>
    <row r="325" spans="1:19" x14ac:dyDescent="0.3">
      <c r="A325" s="2">
        <v>324</v>
      </c>
      <c r="B325" s="1" t="s">
        <v>652</v>
      </c>
      <c r="C325" t="s">
        <v>906</v>
      </c>
      <c r="D325">
        <v>2018</v>
      </c>
      <c r="E325" t="s">
        <v>930</v>
      </c>
      <c r="F325" t="s">
        <v>908</v>
      </c>
      <c r="G325" t="s">
        <v>916</v>
      </c>
      <c r="H325" t="s">
        <v>908</v>
      </c>
      <c r="I325" t="s">
        <v>918</v>
      </c>
      <c r="J325" s="2">
        <v>18.996652999999998</v>
      </c>
      <c r="K325" s="2">
        <v>22.852900000000002</v>
      </c>
      <c r="L325" s="2" t="str">
        <f t="shared" si="15"/>
        <v>20–25°C</v>
      </c>
      <c r="M325" s="3">
        <v>68.458299999999994</v>
      </c>
      <c r="N325" s="3" t="str">
        <f t="shared" si="16"/>
        <v>60–80%</v>
      </c>
      <c r="O325" s="2">
        <v>12.45865</v>
      </c>
      <c r="P325" s="2" t="str">
        <f t="shared" si="17"/>
        <v>10–15 km/h</v>
      </c>
      <c r="Q325" s="2">
        <v>787</v>
      </c>
      <c r="R325" s="2">
        <v>2733</v>
      </c>
      <c r="S325" s="2">
        <v>3520</v>
      </c>
    </row>
    <row r="326" spans="1:19" x14ac:dyDescent="0.3">
      <c r="A326" s="2">
        <v>325</v>
      </c>
      <c r="B326" s="1" t="s">
        <v>653</v>
      </c>
      <c r="C326" t="s">
        <v>906</v>
      </c>
      <c r="D326">
        <v>2018</v>
      </c>
      <c r="E326" t="s">
        <v>930</v>
      </c>
      <c r="F326" t="s">
        <v>908</v>
      </c>
      <c r="G326" t="s">
        <v>910</v>
      </c>
      <c r="H326" t="s">
        <v>909</v>
      </c>
      <c r="I326" t="s">
        <v>919</v>
      </c>
      <c r="J326" s="2">
        <v>18.3475</v>
      </c>
      <c r="K326" s="2">
        <v>22.2531</v>
      </c>
      <c r="L326" s="2" t="str">
        <f t="shared" si="15"/>
        <v>20–25°C</v>
      </c>
      <c r="M326" s="3">
        <v>91</v>
      </c>
      <c r="N326" s="3" t="str">
        <f t="shared" si="16"/>
        <v>80–100%</v>
      </c>
      <c r="O326" s="2">
        <v>9.2496179999999999</v>
      </c>
      <c r="P326" s="2" t="str">
        <f t="shared" si="17"/>
        <v>5–10 km/h</v>
      </c>
      <c r="Q326" s="2">
        <v>220</v>
      </c>
      <c r="R326" s="2">
        <v>2545</v>
      </c>
      <c r="S326" s="2">
        <v>2765</v>
      </c>
    </row>
    <row r="327" spans="1:19" x14ac:dyDescent="0.3">
      <c r="A327" s="2">
        <v>326</v>
      </c>
      <c r="B327" s="1" t="s">
        <v>654</v>
      </c>
      <c r="C327" t="s">
        <v>906</v>
      </c>
      <c r="D327">
        <v>2018</v>
      </c>
      <c r="E327" t="s">
        <v>930</v>
      </c>
      <c r="F327" t="s">
        <v>908</v>
      </c>
      <c r="G327" t="s">
        <v>911</v>
      </c>
      <c r="H327" t="s">
        <v>909</v>
      </c>
      <c r="I327" t="s">
        <v>919</v>
      </c>
      <c r="J327" s="2">
        <v>17.083347</v>
      </c>
      <c r="K327" s="2">
        <v>21.084800000000001</v>
      </c>
      <c r="L327" s="2" t="str">
        <f t="shared" si="15"/>
        <v>20–25°C</v>
      </c>
      <c r="M327" s="3">
        <v>96.25</v>
      </c>
      <c r="N327" s="3" t="str">
        <f t="shared" si="16"/>
        <v>80–100%</v>
      </c>
      <c r="O327" s="2">
        <v>7.9590639999999997</v>
      </c>
      <c r="P327" s="2" t="str">
        <f t="shared" si="17"/>
        <v>5–10 km/h</v>
      </c>
      <c r="Q327" s="2">
        <v>69</v>
      </c>
      <c r="R327" s="2">
        <v>1538</v>
      </c>
      <c r="S327" s="2">
        <v>1607</v>
      </c>
    </row>
    <row r="328" spans="1:19" x14ac:dyDescent="0.3">
      <c r="A328" s="2">
        <v>327</v>
      </c>
      <c r="B328" s="1" t="s">
        <v>655</v>
      </c>
      <c r="C328" t="s">
        <v>906</v>
      </c>
      <c r="D328">
        <v>2018</v>
      </c>
      <c r="E328" t="s">
        <v>930</v>
      </c>
      <c r="F328" t="s">
        <v>908</v>
      </c>
      <c r="G328" t="s">
        <v>912</v>
      </c>
      <c r="H328" t="s">
        <v>909</v>
      </c>
      <c r="I328" t="s">
        <v>918</v>
      </c>
      <c r="J328" s="2">
        <v>18.074152999999999</v>
      </c>
      <c r="K328" s="2">
        <v>21.52685</v>
      </c>
      <c r="L328" s="2" t="str">
        <f t="shared" si="15"/>
        <v>20–25°C</v>
      </c>
      <c r="M328" s="3">
        <v>75.791700000000006</v>
      </c>
      <c r="N328" s="3" t="str">
        <f t="shared" si="16"/>
        <v>60–80%</v>
      </c>
      <c r="O328" s="2">
        <v>22.500274999999998</v>
      </c>
      <c r="P328" s="2" t="str">
        <f t="shared" si="17"/>
        <v>20–25 km/h</v>
      </c>
      <c r="Q328" s="2">
        <v>112</v>
      </c>
      <c r="R328" s="2">
        <v>2454</v>
      </c>
      <c r="S328" s="2">
        <v>2566</v>
      </c>
    </row>
    <row r="329" spans="1:19" x14ac:dyDescent="0.3">
      <c r="A329" s="2">
        <v>328</v>
      </c>
      <c r="B329" s="1" t="s">
        <v>656</v>
      </c>
      <c r="C329" t="s">
        <v>906</v>
      </c>
      <c r="D329">
        <v>2018</v>
      </c>
      <c r="E329" t="s">
        <v>930</v>
      </c>
      <c r="F329" t="s">
        <v>909</v>
      </c>
      <c r="G329" t="s">
        <v>913</v>
      </c>
      <c r="H329" t="s">
        <v>908</v>
      </c>
      <c r="I329" t="s">
        <v>917</v>
      </c>
      <c r="J329" s="2">
        <v>15.306653000000001</v>
      </c>
      <c r="K329" s="2">
        <v>18.623550000000002</v>
      </c>
      <c r="L329" s="2" t="str">
        <f t="shared" si="15"/>
        <v>15–20°C</v>
      </c>
      <c r="M329" s="3">
        <v>54.916699999999999</v>
      </c>
      <c r="N329" s="3" t="str">
        <f t="shared" si="16"/>
        <v>40–60%</v>
      </c>
      <c r="O329" s="2">
        <v>11.209368</v>
      </c>
      <c r="P329" s="2" t="str">
        <f t="shared" si="17"/>
        <v>10–15 km/h</v>
      </c>
      <c r="Q329" s="2">
        <v>560</v>
      </c>
      <c r="R329" s="2">
        <v>935</v>
      </c>
      <c r="S329" s="2">
        <v>1495</v>
      </c>
    </row>
    <row r="330" spans="1:19" x14ac:dyDescent="0.3">
      <c r="A330" s="2">
        <v>329</v>
      </c>
      <c r="B330" s="1" t="s">
        <v>657</v>
      </c>
      <c r="C330" t="s">
        <v>906</v>
      </c>
      <c r="D330">
        <v>2018</v>
      </c>
      <c r="E330" t="s">
        <v>930</v>
      </c>
      <c r="F330" t="s">
        <v>908</v>
      </c>
      <c r="G330" t="s">
        <v>914</v>
      </c>
      <c r="H330" t="s">
        <v>909</v>
      </c>
      <c r="I330" t="s">
        <v>917</v>
      </c>
      <c r="J330" s="2">
        <v>15.375</v>
      </c>
      <c r="K330" s="2">
        <v>19.033550000000002</v>
      </c>
      <c r="L330" s="2" t="str">
        <f t="shared" si="15"/>
        <v>15–20°C</v>
      </c>
      <c r="M330" s="3">
        <v>64.375</v>
      </c>
      <c r="N330" s="3" t="str">
        <f t="shared" si="16"/>
        <v>60–80%</v>
      </c>
      <c r="O330" s="2">
        <v>6.6260186000000001</v>
      </c>
      <c r="P330" s="2" t="str">
        <f t="shared" si="17"/>
        <v>5–10 km/h</v>
      </c>
      <c r="Q330" s="2">
        <v>1095</v>
      </c>
      <c r="R330" s="2">
        <v>1697</v>
      </c>
      <c r="S330" s="2">
        <v>2792</v>
      </c>
    </row>
    <row r="331" spans="1:19" x14ac:dyDescent="0.3">
      <c r="A331" s="2">
        <v>330</v>
      </c>
      <c r="B331" s="1" t="s">
        <v>658</v>
      </c>
      <c r="C331" t="s">
        <v>906</v>
      </c>
      <c r="D331">
        <v>2018</v>
      </c>
      <c r="E331" t="s">
        <v>930</v>
      </c>
      <c r="F331" t="s">
        <v>908</v>
      </c>
      <c r="G331" t="s">
        <v>915</v>
      </c>
      <c r="H331" t="s">
        <v>908</v>
      </c>
      <c r="I331" t="s">
        <v>917</v>
      </c>
      <c r="J331" s="2">
        <v>15.409153</v>
      </c>
      <c r="K331" s="2">
        <v>19.254349999999999</v>
      </c>
      <c r="L331" s="2" t="str">
        <f t="shared" si="15"/>
        <v>15–20°C</v>
      </c>
      <c r="M331" s="3">
        <v>68.166700000000006</v>
      </c>
      <c r="N331" s="3" t="str">
        <f t="shared" si="16"/>
        <v>60–80%</v>
      </c>
      <c r="O331" s="2">
        <v>4.5841935999999999</v>
      </c>
      <c r="P331" s="2" t="str">
        <f t="shared" si="17"/>
        <v>0–5 km/h</v>
      </c>
      <c r="Q331" s="2">
        <v>1249</v>
      </c>
      <c r="R331" s="2">
        <v>1819</v>
      </c>
      <c r="S331" s="2">
        <v>3068</v>
      </c>
    </row>
    <row r="332" spans="1:19" x14ac:dyDescent="0.3">
      <c r="A332" s="2">
        <v>331</v>
      </c>
      <c r="B332" s="1" t="s">
        <v>659</v>
      </c>
      <c r="C332" t="s">
        <v>906</v>
      </c>
      <c r="D332">
        <v>2018</v>
      </c>
      <c r="E332" t="s">
        <v>930</v>
      </c>
      <c r="F332" t="s">
        <v>908</v>
      </c>
      <c r="G332" t="s">
        <v>916</v>
      </c>
      <c r="H332" t="s">
        <v>908</v>
      </c>
      <c r="I332" t="s">
        <v>917</v>
      </c>
      <c r="J332" s="2">
        <v>18.825847</v>
      </c>
      <c r="K332" s="2">
        <v>22.79</v>
      </c>
      <c r="L332" s="2" t="str">
        <f t="shared" si="15"/>
        <v>20–25°C</v>
      </c>
      <c r="M332" s="3">
        <v>69.833299999999994</v>
      </c>
      <c r="N332" s="3" t="str">
        <f t="shared" si="16"/>
        <v>60–80%</v>
      </c>
      <c r="O332" s="2">
        <v>13.999917999999999</v>
      </c>
      <c r="P332" s="2" t="str">
        <f t="shared" si="17"/>
        <v>10–15 km/h</v>
      </c>
      <c r="Q332" s="2">
        <v>810</v>
      </c>
      <c r="R332" s="2">
        <v>2261</v>
      </c>
      <c r="S332" s="2">
        <v>3071</v>
      </c>
    </row>
    <row r="333" spans="1:19" x14ac:dyDescent="0.3">
      <c r="A333" s="2">
        <v>332</v>
      </c>
      <c r="B333" s="1" t="s">
        <v>660</v>
      </c>
      <c r="C333" t="s">
        <v>906</v>
      </c>
      <c r="D333">
        <v>2018</v>
      </c>
      <c r="E333" t="s">
        <v>930</v>
      </c>
      <c r="F333" t="s">
        <v>908</v>
      </c>
      <c r="G333" t="s">
        <v>910</v>
      </c>
      <c r="H333" t="s">
        <v>909</v>
      </c>
      <c r="I333" t="s">
        <v>917</v>
      </c>
      <c r="J333" s="2">
        <v>20.642598</v>
      </c>
      <c r="K333" s="2">
        <v>24.5061</v>
      </c>
      <c r="L333" s="2" t="str">
        <f t="shared" si="15"/>
        <v>20–25°C</v>
      </c>
      <c r="M333" s="3">
        <v>74.304299999999998</v>
      </c>
      <c r="N333" s="3" t="str">
        <f t="shared" si="16"/>
        <v>60–80%</v>
      </c>
      <c r="O333" s="2">
        <v>9.5221739999999997</v>
      </c>
      <c r="P333" s="2" t="str">
        <f t="shared" si="17"/>
        <v>5–10 km/h</v>
      </c>
      <c r="Q333" s="2">
        <v>253</v>
      </c>
      <c r="R333" s="2">
        <v>3614</v>
      </c>
      <c r="S333" s="2">
        <v>3867</v>
      </c>
    </row>
    <row r="334" spans="1:19" x14ac:dyDescent="0.3">
      <c r="A334" s="2">
        <v>333</v>
      </c>
      <c r="B334" s="1" t="s">
        <v>661</v>
      </c>
      <c r="C334" t="s">
        <v>906</v>
      </c>
      <c r="D334">
        <v>2018</v>
      </c>
      <c r="E334" t="s">
        <v>930</v>
      </c>
      <c r="F334" t="s">
        <v>908</v>
      </c>
      <c r="G334" t="s">
        <v>911</v>
      </c>
      <c r="H334" t="s">
        <v>909</v>
      </c>
      <c r="I334" t="s">
        <v>918</v>
      </c>
      <c r="J334" s="2">
        <v>18.791653</v>
      </c>
      <c r="K334" s="2">
        <v>22.568750000000001</v>
      </c>
      <c r="L334" s="2" t="str">
        <f t="shared" si="15"/>
        <v>20–25°C</v>
      </c>
      <c r="M334" s="3">
        <v>83.083299999999994</v>
      </c>
      <c r="N334" s="3" t="str">
        <f t="shared" si="16"/>
        <v>80–100%</v>
      </c>
      <c r="O334" s="2">
        <v>17.292164</v>
      </c>
      <c r="P334" s="2" t="str">
        <f t="shared" si="17"/>
        <v>15–20 km/h</v>
      </c>
      <c r="Q334" s="2">
        <v>96</v>
      </c>
      <c r="R334" s="2">
        <v>2818</v>
      </c>
      <c r="S334" s="2">
        <v>2914</v>
      </c>
    </row>
    <row r="335" spans="1:19" x14ac:dyDescent="0.3">
      <c r="A335" s="2">
        <v>334</v>
      </c>
      <c r="B335" s="1" t="s">
        <v>662</v>
      </c>
      <c r="C335" t="s">
        <v>906</v>
      </c>
      <c r="D335">
        <v>2018</v>
      </c>
      <c r="E335" t="s">
        <v>930</v>
      </c>
      <c r="F335" t="s">
        <v>908</v>
      </c>
      <c r="G335" t="s">
        <v>912</v>
      </c>
      <c r="H335" t="s">
        <v>909</v>
      </c>
      <c r="I335" t="s">
        <v>917</v>
      </c>
      <c r="J335" s="2">
        <v>13.324999999999999</v>
      </c>
      <c r="K335" s="2">
        <v>15.56105</v>
      </c>
      <c r="L335" s="2" t="str">
        <f t="shared" si="15"/>
        <v>15–20°C</v>
      </c>
      <c r="M335" s="3">
        <v>61.333300000000001</v>
      </c>
      <c r="N335" s="3" t="str">
        <f t="shared" si="16"/>
        <v>60–80%</v>
      </c>
      <c r="O335" s="2">
        <v>18.167586</v>
      </c>
      <c r="P335" s="2" t="str">
        <f t="shared" si="17"/>
        <v>15–20 km/h</v>
      </c>
      <c r="Q335" s="2">
        <v>188</v>
      </c>
      <c r="R335" s="2">
        <v>3425</v>
      </c>
      <c r="S335" s="2">
        <v>3613</v>
      </c>
    </row>
    <row r="336" spans="1:19" x14ac:dyDescent="0.3">
      <c r="A336" s="2">
        <v>335</v>
      </c>
      <c r="B336" s="1">
        <v>43112</v>
      </c>
      <c r="C336" t="s">
        <v>906</v>
      </c>
      <c r="D336">
        <v>2018</v>
      </c>
      <c r="E336" t="s">
        <v>931</v>
      </c>
      <c r="F336" t="s">
        <v>908</v>
      </c>
      <c r="G336" t="s">
        <v>913</v>
      </c>
      <c r="H336" t="s">
        <v>909</v>
      </c>
      <c r="I336" t="s">
        <v>917</v>
      </c>
      <c r="J336" s="2">
        <v>12.8125</v>
      </c>
      <c r="K336" s="2">
        <v>15.277699999999999</v>
      </c>
      <c r="L336" s="2" t="str">
        <f t="shared" si="15"/>
        <v>15–20°C</v>
      </c>
      <c r="M336" s="3">
        <v>52.458300000000001</v>
      </c>
      <c r="N336" s="3" t="str">
        <f t="shared" si="16"/>
        <v>40–60%</v>
      </c>
      <c r="O336" s="2">
        <v>14.750586</v>
      </c>
      <c r="P336" s="2" t="str">
        <f t="shared" si="17"/>
        <v>10–15 km/h</v>
      </c>
      <c r="Q336" s="2">
        <v>182</v>
      </c>
      <c r="R336" s="2">
        <v>3545</v>
      </c>
      <c r="S336" s="2">
        <v>3727</v>
      </c>
    </row>
    <row r="337" spans="1:19" x14ac:dyDescent="0.3">
      <c r="A337" s="2">
        <v>336</v>
      </c>
      <c r="B337" s="1">
        <v>43143</v>
      </c>
      <c r="C337" t="s">
        <v>906</v>
      </c>
      <c r="D337">
        <v>2018</v>
      </c>
      <c r="E337" t="s">
        <v>931</v>
      </c>
      <c r="F337" t="s">
        <v>908</v>
      </c>
      <c r="G337" t="s">
        <v>914</v>
      </c>
      <c r="H337" t="s">
        <v>909</v>
      </c>
      <c r="I337" t="s">
        <v>917</v>
      </c>
      <c r="J337" s="2">
        <v>12.880846999999999</v>
      </c>
      <c r="K337" s="2">
        <v>16.571650000000002</v>
      </c>
      <c r="L337" s="2" t="str">
        <f t="shared" si="15"/>
        <v>15–20°C</v>
      </c>
      <c r="M337" s="3">
        <v>62.583300000000001</v>
      </c>
      <c r="N337" s="3" t="str">
        <f t="shared" si="16"/>
        <v>60–80%</v>
      </c>
      <c r="O337" s="2">
        <v>6.7505179999999996</v>
      </c>
      <c r="P337" s="2" t="str">
        <f t="shared" si="17"/>
        <v>5–10 km/h</v>
      </c>
      <c r="Q337" s="2">
        <v>268</v>
      </c>
      <c r="R337" s="2">
        <v>3672</v>
      </c>
      <c r="S337" s="2">
        <v>3940</v>
      </c>
    </row>
    <row r="338" spans="1:19" x14ac:dyDescent="0.3">
      <c r="A338" s="2">
        <v>337</v>
      </c>
      <c r="B338" s="1">
        <v>43171</v>
      </c>
      <c r="C338" t="s">
        <v>906</v>
      </c>
      <c r="D338">
        <v>2018</v>
      </c>
      <c r="E338" t="s">
        <v>931</v>
      </c>
      <c r="F338" t="s">
        <v>908</v>
      </c>
      <c r="G338" t="s">
        <v>915</v>
      </c>
      <c r="H338" t="s">
        <v>908</v>
      </c>
      <c r="I338" t="s">
        <v>917</v>
      </c>
      <c r="J338" s="2">
        <v>12.265847000000001</v>
      </c>
      <c r="K338" s="2">
        <v>15.530200000000001</v>
      </c>
      <c r="L338" s="2" t="str">
        <f t="shared" si="15"/>
        <v>15–20°C</v>
      </c>
      <c r="M338" s="3">
        <v>61.291699999999999</v>
      </c>
      <c r="N338" s="3" t="str">
        <f t="shared" si="16"/>
        <v>60–80%</v>
      </c>
      <c r="O338" s="2">
        <v>6.4174810999999998</v>
      </c>
      <c r="P338" s="2" t="str">
        <f t="shared" si="17"/>
        <v>5–10 km/h</v>
      </c>
      <c r="Q338" s="2">
        <v>706</v>
      </c>
      <c r="R338" s="2">
        <v>2908</v>
      </c>
      <c r="S338" s="2">
        <v>3614</v>
      </c>
    </row>
    <row r="339" spans="1:19" x14ac:dyDescent="0.3">
      <c r="A339" s="2">
        <v>338</v>
      </c>
      <c r="B339" s="1">
        <v>43202</v>
      </c>
      <c r="C339" t="s">
        <v>906</v>
      </c>
      <c r="D339">
        <v>2018</v>
      </c>
      <c r="E339" t="s">
        <v>931</v>
      </c>
      <c r="F339" t="s">
        <v>908</v>
      </c>
      <c r="G339" t="s">
        <v>916</v>
      </c>
      <c r="H339" t="s">
        <v>908</v>
      </c>
      <c r="I339" t="s">
        <v>917</v>
      </c>
      <c r="J339" s="2">
        <v>13.564152999999999</v>
      </c>
      <c r="K339" s="2">
        <v>17.454999999999998</v>
      </c>
      <c r="L339" s="2" t="str">
        <f t="shared" si="15"/>
        <v>15–20°C</v>
      </c>
      <c r="M339" s="3">
        <v>77.583299999999994</v>
      </c>
      <c r="N339" s="3" t="str">
        <f t="shared" si="16"/>
        <v>60–80%</v>
      </c>
      <c r="O339" s="2">
        <v>5.6252060999999998</v>
      </c>
      <c r="P339" s="2" t="str">
        <f t="shared" si="17"/>
        <v>5–10 km/h</v>
      </c>
      <c r="Q339" s="2">
        <v>634</v>
      </c>
      <c r="R339" s="2">
        <v>2851</v>
      </c>
      <c r="S339" s="2">
        <v>3485</v>
      </c>
    </row>
    <row r="340" spans="1:19" x14ac:dyDescent="0.3">
      <c r="A340" s="2">
        <v>339</v>
      </c>
      <c r="B340" s="1">
        <v>43232</v>
      </c>
      <c r="C340" t="s">
        <v>906</v>
      </c>
      <c r="D340">
        <v>2018</v>
      </c>
      <c r="E340" t="s">
        <v>931</v>
      </c>
      <c r="F340" t="s">
        <v>908</v>
      </c>
      <c r="G340" t="s">
        <v>910</v>
      </c>
      <c r="H340" t="s">
        <v>909</v>
      </c>
      <c r="I340" t="s">
        <v>918</v>
      </c>
      <c r="J340" s="2">
        <v>15.819153</v>
      </c>
      <c r="K340" s="2">
        <v>19.696249999999999</v>
      </c>
      <c r="L340" s="2" t="str">
        <f t="shared" si="15"/>
        <v>15–20°C</v>
      </c>
      <c r="M340" s="3">
        <v>82.708299999999994</v>
      </c>
      <c r="N340" s="3" t="str">
        <f t="shared" si="16"/>
        <v>80–100%</v>
      </c>
      <c r="O340" s="2">
        <v>4.1679560999999996</v>
      </c>
      <c r="P340" s="2" t="str">
        <f t="shared" si="17"/>
        <v>0–5 km/h</v>
      </c>
      <c r="Q340" s="2">
        <v>233</v>
      </c>
      <c r="R340" s="2">
        <v>3578</v>
      </c>
      <c r="S340" s="2">
        <v>3811</v>
      </c>
    </row>
    <row r="341" spans="1:19" x14ac:dyDescent="0.3">
      <c r="A341" s="2">
        <v>340</v>
      </c>
      <c r="B341" s="1">
        <v>43263</v>
      </c>
      <c r="C341" t="s">
        <v>906</v>
      </c>
      <c r="D341">
        <v>2018</v>
      </c>
      <c r="E341" t="s">
        <v>931</v>
      </c>
      <c r="F341" t="s">
        <v>908</v>
      </c>
      <c r="G341" t="s">
        <v>911</v>
      </c>
      <c r="H341" t="s">
        <v>909</v>
      </c>
      <c r="I341" t="s">
        <v>919</v>
      </c>
      <c r="J341" s="2">
        <v>18.962499999999999</v>
      </c>
      <c r="K341" s="2">
        <v>22.82</v>
      </c>
      <c r="L341" s="2" t="str">
        <f t="shared" si="15"/>
        <v>20–25°C</v>
      </c>
      <c r="M341" s="3">
        <v>94.958299999999994</v>
      </c>
      <c r="N341" s="3" t="str">
        <f t="shared" si="16"/>
        <v>80–100%</v>
      </c>
      <c r="O341" s="2">
        <v>15.583061000000001</v>
      </c>
      <c r="P341" s="2" t="str">
        <f t="shared" si="17"/>
        <v>15–20 km/h</v>
      </c>
      <c r="Q341" s="2">
        <v>126</v>
      </c>
      <c r="R341" s="2">
        <v>2468</v>
      </c>
      <c r="S341" s="2">
        <v>2594</v>
      </c>
    </row>
    <row r="342" spans="1:19" x14ac:dyDescent="0.3">
      <c r="A342" s="2">
        <v>341</v>
      </c>
      <c r="B342" s="1">
        <v>43293</v>
      </c>
      <c r="C342" t="s">
        <v>906</v>
      </c>
      <c r="D342">
        <v>2018</v>
      </c>
      <c r="E342" t="s">
        <v>931</v>
      </c>
      <c r="F342" t="s">
        <v>908</v>
      </c>
      <c r="G342" t="s">
        <v>912</v>
      </c>
      <c r="H342" t="s">
        <v>909</v>
      </c>
      <c r="I342" t="s">
        <v>919</v>
      </c>
      <c r="J342" s="2">
        <v>16.809999999999999</v>
      </c>
      <c r="K342" s="2">
        <v>20.0123</v>
      </c>
      <c r="L342" s="2" t="str">
        <f t="shared" si="15"/>
        <v>20–25°C</v>
      </c>
      <c r="M342" s="3">
        <v>97.041700000000006</v>
      </c>
      <c r="N342" s="3" t="str">
        <f t="shared" si="16"/>
        <v>80–100%</v>
      </c>
      <c r="O342" s="2">
        <v>17.833725000000001</v>
      </c>
      <c r="P342" s="2" t="str">
        <f t="shared" si="17"/>
        <v>15–20 km/h</v>
      </c>
      <c r="Q342" s="2">
        <v>50</v>
      </c>
      <c r="R342" s="2">
        <v>655</v>
      </c>
      <c r="S342" s="2">
        <v>705</v>
      </c>
    </row>
    <row r="343" spans="1:19" x14ac:dyDescent="0.3">
      <c r="A343" s="2">
        <v>342</v>
      </c>
      <c r="B343" s="1">
        <v>43324</v>
      </c>
      <c r="C343" t="s">
        <v>906</v>
      </c>
      <c r="D343">
        <v>2018</v>
      </c>
      <c r="E343" t="s">
        <v>931</v>
      </c>
      <c r="F343" t="s">
        <v>908</v>
      </c>
      <c r="G343" t="s">
        <v>913</v>
      </c>
      <c r="H343" t="s">
        <v>909</v>
      </c>
      <c r="I343" t="s">
        <v>917</v>
      </c>
      <c r="J343" s="2">
        <v>10.899153</v>
      </c>
      <c r="K343" s="2">
        <v>12.8469</v>
      </c>
      <c r="L343" s="2" t="str">
        <f t="shared" si="15"/>
        <v>10–15°C</v>
      </c>
      <c r="M343" s="3">
        <v>58</v>
      </c>
      <c r="N343" s="3" t="str">
        <f t="shared" si="16"/>
        <v>40–60%</v>
      </c>
      <c r="O343" s="2">
        <v>16.083886</v>
      </c>
      <c r="P343" s="2" t="str">
        <f t="shared" si="17"/>
        <v>15–20 km/h</v>
      </c>
      <c r="Q343" s="2">
        <v>150</v>
      </c>
      <c r="R343" s="2">
        <v>3172</v>
      </c>
      <c r="S343" s="2">
        <v>3322</v>
      </c>
    </row>
    <row r="344" spans="1:19" x14ac:dyDescent="0.3">
      <c r="A344" s="2">
        <v>343</v>
      </c>
      <c r="B344" s="1">
        <v>43355</v>
      </c>
      <c r="C344" t="s">
        <v>906</v>
      </c>
      <c r="D344">
        <v>2018</v>
      </c>
      <c r="E344" t="s">
        <v>931</v>
      </c>
      <c r="F344" t="s">
        <v>908</v>
      </c>
      <c r="G344" t="s">
        <v>914</v>
      </c>
      <c r="H344" t="s">
        <v>909</v>
      </c>
      <c r="I344" t="s">
        <v>917</v>
      </c>
      <c r="J344" s="2">
        <v>11.924153</v>
      </c>
      <c r="K344" s="2">
        <v>15.8771</v>
      </c>
      <c r="L344" s="2" t="str">
        <f t="shared" si="15"/>
        <v>15–20°C</v>
      </c>
      <c r="M344" s="3">
        <v>69.583299999999994</v>
      </c>
      <c r="N344" s="3" t="str">
        <f t="shared" si="16"/>
        <v>60–80%</v>
      </c>
      <c r="O344" s="2">
        <v>5.5420189000000004</v>
      </c>
      <c r="P344" s="2" t="str">
        <f t="shared" si="17"/>
        <v>5–10 km/h</v>
      </c>
      <c r="Q344" s="2">
        <v>261</v>
      </c>
      <c r="R344" s="2">
        <v>3359</v>
      </c>
      <c r="S344" s="2">
        <v>3620</v>
      </c>
    </row>
    <row r="345" spans="1:19" x14ac:dyDescent="0.3">
      <c r="A345" s="2">
        <v>344</v>
      </c>
      <c r="B345" s="1">
        <v>43385</v>
      </c>
      <c r="C345" t="s">
        <v>906</v>
      </c>
      <c r="D345">
        <v>2018</v>
      </c>
      <c r="E345" t="s">
        <v>931</v>
      </c>
      <c r="F345" t="s">
        <v>908</v>
      </c>
      <c r="G345" t="s">
        <v>915</v>
      </c>
      <c r="H345" t="s">
        <v>908</v>
      </c>
      <c r="I345" t="s">
        <v>917</v>
      </c>
      <c r="J345" s="2">
        <v>11.275</v>
      </c>
      <c r="K345" s="2">
        <v>13.320600000000001</v>
      </c>
      <c r="L345" s="2" t="str">
        <f t="shared" si="15"/>
        <v>10–15°C</v>
      </c>
      <c r="M345" s="3">
        <v>50.75</v>
      </c>
      <c r="N345" s="3" t="str">
        <f t="shared" si="16"/>
        <v>40–60%</v>
      </c>
      <c r="O345" s="2">
        <v>15.625807</v>
      </c>
      <c r="P345" s="2" t="str">
        <f t="shared" si="17"/>
        <v>15–20 km/h</v>
      </c>
      <c r="Q345" s="2">
        <v>502</v>
      </c>
      <c r="R345" s="2">
        <v>2688</v>
      </c>
      <c r="S345" s="2">
        <v>3190</v>
      </c>
    </row>
    <row r="346" spans="1:19" x14ac:dyDescent="0.3">
      <c r="A346" s="2">
        <v>345</v>
      </c>
      <c r="B346" s="1">
        <v>43416</v>
      </c>
      <c r="C346" t="s">
        <v>906</v>
      </c>
      <c r="D346">
        <v>2018</v>
      </c>
      <c r="E346" t="s">
        <v>931</v>
      </c>
      <c r="F346" t="s">
        <v>908</v>
      </c>
      <c r="G346" t="s">
        <v>916</v>
      </c>
      <c r="H346" t="s">
        <v>908</v>
      </c>
      <c r="I346" t="s">
        <v>917</v>
      </c>
      <c r="J346" s="2">
        <v>9.0541529999999995</v>
      </c>
      <c r="K346" s="2">
        <v>12.6577</v>
      </c>
      <c r="L346" s="2" t="str">
        <f t="shared" si="15"/>
        <v>10–15°C</v>
      </c>
      <c r="M346" s="3">
        <v>49</v>
      </c>
      <c r="N346" s="3" t="str">
        <f t="shared" si="16"/>
        <v>40–60%</v>
      </c>
      <c r="O346" s="2">
        <v>4.4582939000000001</v>
      </c>
      <c r="P346" s="2" t="str">
        <f t="shared" si="17"/>
        <v>0–5 km/h</v>
      </c>
      <c r="Q346" s="2">
        <v>377</v>
      </c>
      <c r="R346" s="2">
        <v>2366</v>
      </c>
      <c r="S346" s="2">
        <v>2743</v>
      </c>
    </row>
    <row r="347" spans="1:19" x14ac:dyDescent="0.3">
      <c r="A347" s="2">
        <v>346</v>
      </c>
      <c r="B347" s="1">
        <v>43446</v>
      </c>
      <c r="C347" t="s">
        <v>906</v>
      </c>
      <c r="D347">
        <v>2018</v>
      </c>
      <c r="E347" t="s">
        <v>931</v>
      </c>
      <c r="F347" t="s">
        <v>908</v>
      </c>
      <c r="G347" t="s">
        <v>910</v>
      </c>
      <c r="H347" t="s">
        <v>909</v>
      </c>
      <c r="I347" t="s">
        <v>917</v>
      </c>
      <c r="J347" s="2">
        <v>9.7716530000000006</v>
      </c>
      <c r="K347" s="2">
        <v>13.5098</v>
      </c>
      <c r="L347" s="2" t="str">
        <f t="shared" si="15"/>
        <v>10–15°C</v>
      </c>
      <c r="M347" s="3">
        <v>67.083299999999994</v>
      </c>
      <c r="N347" s="3" t="str">
        <f t="shared" si="16"/>
        <v>60–80%</v>
      </c>
      <c r="O347" s="2">
        <v>4.25115</v>
      </c>
      <c r="P347" s="2" t="str">
        <f t="shared" si="17"/>
        <v>0–5 km/h</v>
      </c>
      <c r="Q347" s="2">
        <v>143</v>
      </c>
      <c r="R347" s="2">
        <v>3167</v>
      </c>
      <c r="S347" s="2">
        <v>3310</v>
      </c>
    </row>
    <row r="348" spans="1:19" x14ac:dyDescent="0.3">
      <c r="A348" s="2">
        <v>347</v>
      </c>
      <c r="B348" s="1" t="s">
        <v>663</v>
      </c>
      <c r="C348" t="s">
        <v>906</v>
      </c>
      <c r="D348">
        <v>2018</v>
      </c>
      <c r="E348" t="s">
        <v>931</v>
      </c>
      <c r="F348" t="s">
        <v>908</v>
      </c>
      <c r="G348" t="s">
        <v>911</v>
      </c>
      <c r="H348" t="s">
        <v>909</v>
      </c>
      <c r="I348" t="s">
        <v>917</v>
      </c>
      <c r="J348" s="2">
        <v>11.5825</v>
      </c>
      <c r="K348" s="2">
        <v>15.056900000000001</v>
      </c>
      <c r="L348" s="2" t="str">
        <f t="shared" si="15"/>
        <v>15–20°C</v>
      </c>
      <c r="M348" s="3">
        <v>59</v>
      </c>
      <c r="N348" s="3" t="str">
        <f t="shared" si="16"/>
        <v>40–60%</v>
      </c>
      <c r="O348" s="2">
        <v>9.4168500000000002</v>
      </c>
      <c r="P348" s="2" t="str">
        <f t="shared" si="17"/>
        <v>5–10 km/h</v>
      </c>
      <c r="Q348" s="2">
        <v>155</v>
      </c>
      <c r="R348" s="2">
        <v>3368</v>
      </c>
      <c r="S348" s="2">
        <v>3523</v>
      </c>
    </row>
    <row r="349" spans="1:19" x14ac:dyDescent="0.3">
      <c r="A349" s="2">
        <v>348</v>
      </c>
      <c r="B349" s="1" t="s">
        <v>664</v>
      </c>
      <c r="C349" t="s">
        <v>906</v>
      </c>
      <c r="D349">
        <v>2018</v>
      </c>
      <c r="E349" t="s">
        <v>931</v>
      </c>
      <c r="F349" t="s">
        <v>908</v>
      </c>
      <c r="G349" t="s">
        <v>912</v>
      </c>
      <c r="H349" t="s">
        <v>909</v>
      </c>
      <c r="I349" t="s">
        <v>918</v>
      </c>
      <c r="J349" s="2">
        <v>13.0175</v>
      </c>
      <c r="K349" s="2">
        <v>16.918099999999999</v>
      </c>
      <c r="L349" s="2" t="str">
        <f t="shared" si="15"/>
        <v>15–20°C</v>
      </c>
      <c r="M349" s="3">
        <v>66.375</v>
      </c>
      <c r="N349" s="3" t="str">
        <f t="shared" si="16"/>
        <v>60–80%</v>
      </c>
      <c r="O349" s="2">
        <v>4.0842061000000003</v>
      </c>
      <c r="P349" s="2" t="str">
        <f t="shared" si="17"/>
        <v>0–5 km/h</v>
      </c>
      <c r="Q349" s="2">
        <v>178</v>
      </c>
      <c r="R349" s="2">
        <v>3562</v>
      </c>
      <c r="S349" s="2">
        <v>3740</v>
      </c>
    </row>
    <row r="350" spans="1:19" x14ac:dyDescent="0.3">
      <c r="A350" s="2">
        <v>349</v>
      </c>
      <c r="B350" s="1" t="s">
        <v>665</v>
      </c>
      <c r="C350" t="s">
        <v>906</v>
      </c>
      <c r="D350">
        <v>2018</v>
      </c>
      <c r="E350" t="s">
        <v>931</v>
      </c>
      <c r="F350" t="s">
        <v>908</v>
      </c>
      <c r="G350" t="s">
        <v>913</v>
      </c>
      <c r="H350" t="s">
        <v>909</v>
      </c>
      <c r="I350" t="s">
        <v>918</v>
      </c>
      <c r="J350" s="2">
        <v>17.322500000000002</v>
      </c>
      <c r="K350" s="2">
        <v>20.61185</v>
      </c>
      <c r="L350" s="2" t="str">
        <f t="shared" si="15"/>
        <v>20–25°C</v>
      </c>
      <c r="M350" s="3">
        <v>63.416699999999999</v>
      </c>
      <c r="N350" s="3" t="str">
        <f t="shared" si="16"/>
        <v>60–80%</v>
      </c>
      <c r="O350" s="2">
        <v>17.958814</v>
      </c>
      <c r="P350" s="2" t="str">
        <f t="shared" si="17"/>
        <v>15–20 km/h</v>
      </c>
      <c r="Q350" s="2">
        <v>181</v>
      </c>
      <c r="R350" s="2">
        <v>3528</v>
      </c>
      <c r="S350" s="2">
        <v>3709</v>
      </c>
    </row>
    <row r="351" spans="1:19" x14ac:dyDescent="0.3">
      <c r="A351" s="2">
        <v>350</v>
      </c>
      <c r="B351" s="1" t="s">
        <v>666</v>
      </c>
      <c r="C351" t="s">
        <v>906</v>
      </c>
      <c r="D351">
        <v>2018</v>
      </c>
      <c r="E351" t="s">
        <v>931</v>
      </c>
      <c r="F351" t="s">
        <v>908</v>
      </c>
      <c r="G351" t="s">
        <v>914</v>
      </c>
      <c r="H351" t="s">
        <v>909</v>
      </c>
      <c r="I351" t="s">
        <v>918</v>
      </c>
      <c r="J351" s="2">
        <v>15.375</v>
      </c>
      <c r="K351" s="2">
        <v>17.991250000000001</v>
      </c>
      <c r="L351" s="2" t="str">
        <f t="shared" si="15"/>
        <v>15–20°C</v>
      </c>
      <c r="M351" s="3">
        <v>50.041699999999999</v>
      </c>
      <c r="N351" s="3" t="str">
        <f t="shared" si="16"/>
        <v>40–60%</v>
      </c>
      <c r="O351" s="2">
        <v>17.458525000000002</v>
      </c>
      <c r="P351" s="2" t="str">
        <f t="shared" si="17"/>
        <v>15–20 km/h</v>
      </c>
      <c r="Q351" s="2">
        <v>178</v>
      </c>
      <c r="R351" s="2">
        <v>3399</v>
      </c>
      <c r="S351" s="2">
        <v>3577</v>
      </c>
    </row>
    <row r="352" spans="1:19" x14ac:dyDescent="0.3">
      <c r="A352" s="2">
        <v>351</v>
      </c>
      <c r="B352" s="1" t="s">
        <v>667</v>
      </c>
      <c r="C352" t="s">
        <v>906</v>
      </c>
      <c r="D352">
        <v>2018</v>
      </c>
      <c r="E352" t="s">
        <v>931</v>
      </c>
      <c r="F352" t="s">
        <v>908</v>
      </c>
      <c r="G352" t="s">
        <v>915</v>
      </c>
      <c r="H352" t="s">
        <v>908</v>
      </c>
      <c r="I352" t="s">
        <v>918</v>
      </c>
      <c r="J352" s="2">
        <v>10.591653000000001</v>
      </c>
      <c r="K352" s="2">
        <v>12.46855</v>
      </c>
      <c r="L352" s="2" t="str">
        <f t="shared" si="15"/>
        <v>10–15°C</v>
      </c>
      <c r="M352" s="3">
        <v>56.083300000000001</v>
      </c>
      <c r="N352" s="3" t="str">
        <f t="shared" si="16"/>
        <v>40–60%</v>
      </c>
      <c r="O352" s="2">
        <v>16.292189</v>
      </c>
      <c r="P352" s="2" t="str">
        <f t="shared" si="17"/>
        <v>15–20 km/h</v>
      </c>
      <c r="Q352" s="2">
        <v>275</v>
      </c>
      <c r="R352" s="2">
        <v>2464</v>
      </c>
      <c r="S352" s="2">
        <v>2739</v>
      </c>
    </row>
    <row r="353" spans="1:19" x14ac:dyDescent="0.3">
      <c r="A353" s="2">
        <v>352</v>
      </c>
      <c r="B353" s="1" t="s">
        <v>668</v>
      </c>
      <c r="C353" t="s">
        <v>906</v>
      </c>
      <c r="D353">
        <v>2018</v>
      </c>
      <c r="E353" t="s">
        <v>931</v>
      </c>
      <c r="F353" t="s">
        <v>908</v>
      </c>
      <c r="G353" t="s">
        <v>916</v>
      </c>
      <c r="H353" t="s">
        <v>908</v>
      </c>
      <c r="I353" t="s">
        <v>917</v>
      </c>
      <c r="J353" s="2">
        <v>9.7716530000000006</v>
      </c>
      <c r="K353" s="2">
        <v>12.27895</v>
      </c>
      <c r="L353" s="2" t="str">
        <f t="shared" si="15"/>
        <v>10–15°C</v>
      </c>
      <c r="M353" s="3">
        <v>58.625</v>
      </c>
      <c r="N353" s="3" t="str">
        <f t="shared" si="16"/>
        <v>40–60%</v>
      </c>
      <c r="O353" s="2">
        <v>11.375192999999999</v>
      </c>
      <c r="P353" s="2" t="str">
        <f t="shared" si="17"/>
        <v>10–15 km/h</v>
      </c>
      <c r="Q353" s="2">
        <v>220</v>
      </c>
      <c r="R353" s="2">
        <v>2211</v>
      </c>
      <c r="S353" s="2">
        <v>2431</v>
      </c>
    </row>
    <row r="354" spans="1:19" x14ac:dyDescent="0.3">
      <c r="A354" s="2">
        <v>353</v>
      </c>
      <c r="B354" s="1" t="s">
        <v>669</v>
      </c>
      <c r="C354" t="s">
        <v>906</v>
      </c>
      <c r="D354">
        <v>2018</v>
      </c>
      <c r="E354" t="s">
        <v>931</v>
      </c>
      <c r="F354" t="s">
        <v>908</v>
      </c>
      <c r="G354" t="s">
        <v>910</v>
      </c>
      <c r="H354" t="s">
        <v>909</v>
      </c>
      <c r="I354" t="s">
        <v>917</v>
      </c>
      <c r="J354" s="2">
        <v>11.343347</v>
      </c>
      <c r="K354" s="2">
        <v>14.04665</v>
      </c>
      <c r="L354" s="2" t="str">
        <f t="shared" si="15"/>
        <v>10–15°C</v>
      </c>
      <c r="M354" s="3">
        <v>63.75</v>
      </c>
      <c r="N354" s="3" t="str">
        <f t="shared" si="16"/>
        <v>60–80%</v>
      </c>
      <c r="O354" s="2">
        <v>11.584032000000001</v>
      </c>
      <c r="P354" s="2" t="str">
        <f t="shared" si="17"/>
        <v>10–15 km/h</v>
      </c>
      <c r="Q354" s="2">
        <v>260</v>
      </c>
      <c r="R354" s="2">
        <v>3143</v>
      </c>
      <c r="S354" s="2">
        <v>3403</v>
      </c>
    </row>
    <row r="355" spans="1:19" x14ac:dyDescent="0.3">
      <c r="A355" s="2">
        <v>354</v>
      </c>
      <c r="B355" s="1" t="s">
        <v>670</v>
      </c>
      <c r="C355" t="s">
        <v>906</v>
      </c>
      <c r="D355">
        <v>2018</v>
      </c>
      <c r="E355" t="s">
        <v>931</v>
      </c>
      <c r="F355" t="s">
        <v>908</v>
      </c>
      <c r="G355" t="s">
        <v>911</v>
      </c>
      <c r="H355" t="s">
        <v>909</v>
      </c>
      <c r="I355" t="s">
        <v>918</v>
      </c>
      <c r="J355" s="2">
        <v>15.819153</v>
      </c>
      <c r="K355" s="2">
        <v>19.822700000000001</v>
      </c>
      <c r="L355" s="2" t="str">
        <f t="shared" si="15"/>
        <v>15–20°C</v>
      </c>
      <c r="M355" s="3">
        <v>59.541699999999999</v>
      </c>
      <c r="N355" s="3" t="str">
        <f t="shared" si="16"/>
        <v>40–60%</v>
      </c>
      <c r="O355" s="2">
        <v>4.1252436000000001</v>
      </c>
      <c r="P355" s="2" t="str">
        <f t="shared" si="17"/>
        <v>0–5 km/h</v>
      </c>
      <c r="Q355" s="2">
        <v>216</v>
      </c>
      <c r="R355" s="2">
        <v>3534</v>
      </c>
      <c r="S355" s="2">
        <v>3750</v>
      </c>
    </row>
    <row r="356" spans="1:19" x14ac:dyDescent="0.3">
      <c r="A356" s="2">
        <v>355</v>
      </c>
      <c r="B356" s="1" t="s">
        <v>671</v>
      </c>
      <c r="C356" t="s">
        <v>907</v>
      </c>
      <c r="D356">
        <v>2018</v>
      </c>
      <c r="E356" t="s">
        <v>931</v>
      </c>
      <c r="F356" t="s">
        <v>908</v>
      </c>
      <c r="G356" t="s">
        <v>912</v>
      </c>
      <c r="H356" t="s">
        <v>909</v>
      </c>
      <c r="I356" t="s">
        <v>918</v>
      </c>
      <c r="J356" s="2">
        <v>17.561653</v>
      </c>
      <c r="K356" s="2">
        <v>21.400849999999998</v>
      </c>
      <c r="L356" s="2" t="str">
        <f t="shared" si="15"/>
        <v>20–25°C</v>
      </c>
      <c r="M356" s="3">
        <v>85.833299999999994</v>
      </c>
      <c r="N356" s="3" t="str">
        <f t="shared" si="16"/>
        <v>80–100%</v>
      </c>
      <c r="O356" s="2">
        <v>14.8338</v>
      </c>
      <c r="P356" s="2" t="str">
        <f t="shared" si="17"/>
        <v>10–15 km/h</v>
      </c>
      <c r="Q356" s="2">
        <v>107</v>
      </c>
      <c r="R356" s="2">
        <v>2553</v>
      </c>
      <c r="S356" s="2">
        <v>2660</v>
      </c>
    </row>
    <row r="357" spans="1:19" x14ac:dyDescent="0.3">
      <c r="A357" s="2">
        <v>356</v>
      </c>
      <c r="B357" s="1" t="s">
        <v>672</v>
      </c>
      <c r="C357" t="s">
        <v>907</v>
      </c>
      <c r="D357">
        <v>2018</v>
      </c>
      <c r="E357" t="s">
        <v>931</v>
      </c>
      <c r="F357" t="s">
        <v>908</v>
      </c>
      <c r="G357" t="s">
        <v>913</v>
      </c>
      <c r="H357" t="s">
        <v>909</v>
      </c>
      <c r="I357" t="s">
        <v>918</v>
      </c>
      <c r="J357" s="2">
        <v>17.356653000000001</v>
      </c>
      <c r="K357" s="2">
        <v>21.306049999999999</v>
      </c>
      <c r="L357" s="2" t="str">
        <f t="shared" si="15"/>
        <v>20–25°C</v>
      </c>
      <c r="M357" s="3">
        <v>75.75</v>
      </c>
      <c r="N357" s="3" t="str">
        <f t="shared" si="16"/>
        <v>60–80%</v>
      </c>
      <c r="O357" s="2">
        <v>3.1674250000000002</v>
      </c>
      <c r="P357" s="2" t="str">
        <f t="shared" si="17"/>
        <v>0–5 km/h</v>
      </c>
      <c r="Q357" s="2">
        <v>227</v>
      </c>
      <c r="R357" s="2">
        <v>2841</v>
      </c>
      <c r="S357" s="2">
        <v>3068</v>
      </c>
    </row>
    <row r="358" spans="1:19" x14ac:dyDescent="0.3">
      <c r="A358" s="2">
        <v>357</v>
      </c>
      <c r="B358" s="1" t="s">
        <v>673</v>
      </c>
      <c r="C358" t="s">
        <v>907</v>
      </c>
      <c r="D358">
        <v>2018</v>
      </c>
      <c r="E358" t="s">
        <v>931</v>
      </c>
      <c r="F358" t="s">
        <v>908</v>
      </c>
      <c r="G358" t="s">
        <v>914</v>
      </c>
      <c r="H358" t="s">
        <v>909</v>
      </c>
      <c r="I358" t="s">
        <v>917</v>
      </c>
      <c r="J358" s="2">
        <v>15.306653000000001</v>
      </c>
      <c r="K358" s="2">
        <v>18.87565</v>
      </c>
      <c r="L358" s="2" t="str">
        <f t="shared" si="15"/>
        <v>15–20°C</v>
      </c>
      <c r="M358" s="3">
        <v>68.625</v>
      </c>
      <c r="N358" s="3" t="str">
        <f t="shared" si="16"/>
        <v>60–80%</v>
      </c>
      <c r="O358" s="2">
        <v>18.374482</v>
      </c>
      <c r="P358" s="2" t="str">
        <f t="shared" si="17"/>
        <v>15–20 km/h</v>
      </c>
      <c r="Q358" s="2">
        <v>163</v>
      </c>
      <c r="R358" s="2">
        <v>2046</v>
      </c>
      <c r="S358" s="2">
        <v>2209</v>
      </c>
    </row>
    <row r="359" spans="1:19" x14ac:dyDescent="0.3">
      <c r="A359" s="2">
        <v>358</v>
      </c>
      <c r="B359" s="1" t="s">
        <v>674</v>
      </c>
      <c r="C359" t="s">
        <v>907</v>
      </c>
      <c r="D359">
        <v>2018</v>
      </c>
      <c r="E359" t="s">
        <v>931</v>
      </c>
      <c r="F359" t="s">
        <v>908</v>
      </c>
      <c r="G359" t="s">
        <v>915</v>
      </c>
      <c r="H359" t="s">
        <v>908</v>
      </c>
      <c r="I359" t="s">
        <v>917</v>
      </c>
      <c r="J359" s="2">
        <v>12.4025</v>
      </c>
      <c r="K359" s="2">
        <v>14.9621</v>
      </c>
      <c r="L359" s="2" t="str">
        <f t="shared" si="15"/>
        <v>10–15°C</v>
      </c>
      <c r="M359" s="3">
        <v>54.25</v>
      </c>
      <c r="N359" s="3" t="str">
        <f t="shared" si="16"/>
        <v>40–60%</v>
      </c>
      <c r="O359" s="2">
        <v>12.750368</v>
      </c>
      <c r="P359" s="2" t="str">
        <f t="shared" si="17"/>
        <v>10–15 km/h</v>
      </c>
      <c r="Q359" s="2">
        <v>155</v>
      </c>
      <c r="R359" s="2">
        <v>856</v>
      </c>
      <c r="S359" s="2">
        <v>1011</v>
      </c>
    </row>
    <row r="360" spans="1:19" x14ac:dyDescent="0.3">
      <c r="A360" s="2">
        <v>359</v>
      </c>
      <c r="B360" s="1" t="s">
        <v>675</v>
      </c>
      <c r="C360" t="s">
        <v>907</v>
      </c>
      <c r="D360">
        <v>2018</v>
      </c>
      <c r="E360" t="s">
        <v>931</v>
      </c>
      <c r="F360" t="s">
        <v>908</v>
      </c>
      <c r="G360" t="s">
        <v>916</v>
      </c>
      <c r="H360" t="s">
        <v>908</v>
      </c>
      <c r="I360" t="s">
        <v>917</v>
      </c>
      <c r="J360" s="2">
        <v>11.266102999999999</v>
      </c>
      <c r="K360" s="2">
        <v>13.998049999999999</v>
      </c>
      <c r="L360" s="2" t="str">
        <f t="shared" si="15"/>
        <v>10–15°C</v>
      </c>
      <c r="M360" s="3">
        <v>68.130399999999995</v>
      </c>
      <c r="N360" s="3" t="str">
        <f t="shared" si="16"/>
        <v>60–80%</v>
      </c>
      <c r="O360" s="2">
        <v>10.391097</v>
      </c>
      <c r="P360" s="2" t="str">
        <f t="shared" si="17"/>
        <v>10–15 km/h</v>
      </c>
      <c r="Q360" s="2">
        <v>303</v>
      </c>
      <c r="R360" s="2">
        <v>451</v>
      </c>
      <c r="S360" s="2">
        <v>754</v>
      </c>
    </row>
    <row r="361" spans="1:19" x14ac:dyDescent="0.3">
      <c r="A361" s="2">
        <v>360</v>
      </c>
      <c r="B361" s="1" t="s">
        <v>676</v>
      </c>
      <c r="C361" t="s">
        <v>907</v>
      </c>
      <c r="D361">
        <v>2018</v>
      </c>
      <c r="E361" t="s">
        <v>931</v>
      </c>
      <c r="F361" t="s">
        <v>909</v>
      </c>
      <c r="G361" t="s">
        <v>910</v>
      </c>
      <c r="H361" t="s">
        <v>908</v>
      </c>
      <c r="I361" t="s">
        <v>917</v>
      </c>
      <c r="J361" s="2">
        <v>13.191299000000001</v>
      </c>
      <c r="K361" s="2">
        <v>15.77675</v>
      </c>
      <c r="L361" s="2" t="str">
        <f t="shared" si="15"/>
        <v>15–20°C</v>
      </c>
      <c r="M361" s="3">
        <v>50.695700000000002</v>
      </c>
      <c r="N361" s="3" t="str">
        <f t="shared" si="16"/>
        <v>40–60%</v>
      </c>
      <c r="O361" s="2">
        <v>16.044155</v>
      </c>
      <c r="P361" s="2" t="str">
        <f t="shared" si="17"/>
        <v>15–20 km/h</v>
      </c>
      <c r="Q361" s="2">
        <v>430</v>
      </c>
      <c r="R361" s="2">
        <v>887</v>
      </c>
      <c r="S361" s="2">
        <v>1317</v>
      </c>
    </row>
    <row r="362" spans="1:19" x14ac:dyDescent="0.3">
      <c r="A362" s="2">
        <v>361</v>
      </c>
      <c r="B362" s="1" t="s">
        <v>677</v>
      </c>
      <c r="C362" t="s">
        <v>907</v>
      </c>
      <c r="D362">
        <v>2018</v>
      </c>
      <c r="E362" t="s">
        <v>931</v>
      </c>
      <c r="F362" t="s">
        <v>908</v>
      </c>
      <c r="G362" t="s">
        <v>911</v>
      </c>
      <c r="H362" t="s">
        <v>909</v>
      </c>
      <c r="I362" t="s">
        <v>918</v>
      </c>
      <c r="J362" s="2">
        <v>13.324999999999999</v>
      </c>
      <c r="K362" s="2">
        <v>16.38165</v>
      </c>
      <c r="L362" s="2" t="str">
        <f t="shared" si="15"/>
        <v>15–20°C</v>
      </c>
      <c r="M362" s="3">
        <v>76.25</v>
      </c>
      <c r="N362" s="3" t="str">
        <f t="shared" si="16"/>
        <v>60–80%</v>
      </c>
      <c r="O362" s="2">
        <v>12.626150000000001</v>
      </c>
      <c r="P362" s="2" t="str">
        <f t="shared" si="17"/>
        <v>10–15 km/h</v>
      </c>
      <c r="Q362" s="2">
        <v>103</v>
      </c>
      <c r="R362" s="2">
        <v>1059</v>
      </c>
      <c r="S362" s="2">
        <v>1162</v>
      </c>
    </row>
    <row r="363" spans="1:19" x14ac:dyDescent="0.3">
      <c r="A363" s="2">
        <v>362</v>
      </c>
      <c r="B363" s="1" t="s">
        <v>678</v>
      </c>
      <c r="C363" t="s">
        <v>907</v>
      </c>
      <c r="D363">
        <v>2018</v>
      </c>
      <c r="E363" t="s">
        <v>931</v>
      </c>
      <c r="F363" t="s">
        <v>908</v>
      </c>
      <c r="G363" t="s">
        <v>912</v>
      </c>
      <c r="H363" t="s">
        <v>909</v>
      </c>
      <c r="I363" t="s">
        <v>917</v>
      </c>
      <c r="J363" s="2">
        <v>12.264329999999999</v>
      </c>
      <c r="K363" s="2">
        <v>13.998699999999999</v>
      </c>
      <c r="L363" s="2" t="str">
        <f t="shared" si="15"/>
        <v>10–15°C</v>
      </c>
      <c r="M363" s="3">
        <v>50.391300000000001</v>
      </c>
      <c r="N363" s="3" t="str">
        <f t="shared" si="16"/>
        <v>40–60%</v>
      </c>
      <c r="O363" s="2">
        <v>19.695387</v>
      </c>
      <c r="P363" s="2" t="str">
        <f t="shared" si="17"/>
        <v>15–20 km/h</v>
      </c>
      <c r="Q363" s="2">
        <v>255</v>
      </c>
      <c r="R363" s="2">
        <v>2047</v>
      </c>
      <c r="S363" s="2">
        <v>2302</v>
      </c>
    </row>
    <row r="364" spans="1:19" x14ac:dyDescent="0.3">
      <c r="A364" s="2">
        <v>363</v>
      </c>
      <c r="B364" s="1" t="s">
        <v>679</v>
      </c>
      <c r="C364" t="s">
        <v>907</v>
      </c>
      <c r="D364">
        <v>2018</v>
      </c>
      <c r="E364" t="s">
        <v>931</v>
      </c>
      <c r="F364" t="s">
        <v>908</v>
      </c>
      <c r="G364" t="s">
        <v>913</v>
      </c>
      <c r="H364" t="s">
        <v>909</v>
      </c>
      <c r="I364" t="s">
        <v>917</v>
      </c>
      <c r="J364" s="2">
        <v>10.181653000000001</v>
      </c>
      <c r="K364" s="2">
        <v>13.194599999999999</v>
      </c>
      <c r="L364" s="2" t="str">
        <f t="shared" si="15"/>
        <v>10–15°C</v>
      </c>
      <c r="M364" s="3">
        <v>57.416699999999999</v>
      </c>
      <c r="N364" s="3" t="str">
        <f t="shared" si="16"/>
        <v>40–60%</v>
      </c>
      <c r="O364" s="2">
        <v>8.0006039999999992</v>
      </c>
      <c r="P364" s="2" t="str">
        <f t="shared" si="17"/>
        <v>5–10 km/h</v>
      </c>
      <c r="Q364" s="2">
        <v>254</v>
      </c>
      <c r="R364" s="2">
        <v>2169</v>
      </c>
      <c r="S364" s="2">
        <v>2423</v>
      </c>
    </row>
    <row r="365" spans="1:19" x14ac:dyDescent="0.3">
      <c r="A365" s="2">
        <v>364</v>
      </c>
      <c r="B365" s="1" t="s">
        <v>680</v>
      </c>
      <c r="C365" t="s">
        <v>907</v>
      </c>
      <c r="D365">
        <v>2018</v>
      </c>
      <c r="E365" t="s">
        <v>931</v>
      </c>
      <c r="F365" t="s">
        <v>908</v>
      </c>
      <c r="G365" t="s">
        <v>914</v>
      </c>
      <c r="H365" t="s">
        <v>909</v>
      </c>
      <c r="I365" t="s">
        <v>917</v>
      </c>
      <c r="J365" s="2">
        <v>12.778347</v>
      </c>
      <c r="K365" s="2">
        <v>15.9406</v>
      </c>
      <c r="L365" s="2" t="str">
        <f t="shared" si="15"/>
        <v>15–20°C</v>
      </c>
      <c r="M365" s="3">
        <v>63.666699999999999</v>
      </c>
      <c r="N365" s="3" t="str">
        <f t="shared" si="16"/>
        <v>60–80%</v>
      </c>
      <c r="O365" s="2">
        <v>9.0005790000000001</v>
      </c>
      <c r="P365" s="2" t="str">
        <f t="shared" si="17"/>
        <v>5–10 km/h</v>
      </c>
      <c r="Q365" s="2">
        <v>491</v>
      </c>
      <c r="R365" s="2">
        <v>2508</v>
      </c>
      <c r="S365" s="2">
        <v>2999</v>
      </c>
    </row>
    <row r="366" spans="1:19" x14ac:dyDescent="0.3">
      <c r="A366" s="2">
        <v>365</v>
      </c>
      <c r="B366" s="1" t="s">
        <v>681</v>
      </c>
      <c r="C366" t="s">
        <v>907</v>
      </c>
      <c r="D366">
        <v>2018</v>
      </c>
      <c r="E366" t="s">
        <v>931</v>
      </c>
      <c r="F366" t="s">
        <v>908</v>
      </c>
      <c r="G366" t="s">
        <v>915</v>
      </c>
      <c r="H366" t="s">
        <v>908</v>
      </c>
      <c r="I366" t="s">
        <v>917</v>
      </c>
      <c r="J366" s="2">
        <v>16.809999999999999</v>
      </c>
      <c r="K366" s="2">
        <v>20.706050000000001</v>
      </c>
      <c r="L366" s="2" t="str">
        <f t="shared" si="15"/>
        <v>20–25°C</v>
      </c>
      <c r="M366" s="3">
        <v>61.583300000000001</v>
      </c>
      <c r="N366" s="3" t="str">
        <f t="shared" si="16"/>
        <v>60–80%</v>
      </c>
      <c r="O366" s="2">
        <v>14.750318</v>
      </c>
      <c r="P366" s="2" t="str">
        <f t="shared" si="17"/>
        <v>10–15 km/h</v>
      </c>
      <c r="Q366" s="2">
        <v>665</v>
      </c>
      <c r="R366" s="2">
        <v>1820</v>
      </c>
      <c r="S366" s="2">
        <v>2485</v>
      </c>
    </row>
    <row r="367" spans="1:19" x14ac:dyDescent="0.3">
      <c r="A367" s="2">
        <v>366</v>
      </c>
      <c r="B367" s="1">
        <v>43466</v>
      </c>
      <c r="C367" t="s">
        <v>907</v>
      </c>
      <c r="D367">
        <v>2019</v>
      </c>
      <c r="E367" t="s">
        <v>921</v>
      </c>
      <c r="F367" t="s">
        <v>908</v>
      </c>
      <c r="G367" t="s">
        <v>916</v>
      </c>
      <c r="H367" t="s">
        <v>908</v>
      </c>
      <c r="I367" t="s">
        <v>917</v>
      </c>
      <c r="J367" s="2">
        <v>15.17</v>
      </c>
      <c r="K367" s="2">
        <v>18.78105</v>
      </c>
      <c r="L367" s="2" t="str">
        <f t="shared" si="15"/>
        <v>15–20°C</v>
      </c>
      <c r="M367" s="3">
        <v>69.25</v>
      </c>
      <c r="N367" s="3" t="str">
        <f t="shared" si="16"/>
        <v>60–80%</v>
      </c>
      <c r="O367" s="2">
        <v>12.875189000000001</v>
      </c>
      <c r="P367" s="2" t="str">
        <f t="shared" si="17"/>
        <v>10–15 km/h</v>
      </c>
      <c r="Q367" s="2">
        <v>686</v>
      </c>
      <c r="R367" s="2">
        <v>1608</v>
      </c>
      <c r="S367" s="2">
        <v>2294</v>
      </c>
    </row>
    <row r="368" spans="1:19" x14ac:dyDescent="0.3">
      <c r="A368" s="2">
        <v>367</v>
      </c>
      <c r="B368" s="1">
        <v>43497</v>
      </c>
      <c r="C368" t="s">
        <v>907</v>
      </c>
      <c r="D368">
        <v>2019</v>
      </c>
      <c r="E368" t="s">
        <v>921</v>
      </c>
      <c r="F368" t="s">
        <v>909</v>
      </c>
      <c r="G368" t="s">
        <v>910</v>
      </c>
      <c r="H368" t="s">
        <v>908</v>
      </c>
      <c r="I368" t="s">
        <v>917</v>
      </c>
      <c r="J368" s="2">
        <v>11.194763</v>
      </c>
      <c r="K368" s="2">
        <v>12.6152</v>
      </c>
      <c r="L368" s="2" t="str">
        <f t="shared" si="15"/>
        <v>10–15°C</v>
      </c>
      <c r="M368" s="3">
        <v>38.130400000000002</v>
      </c>
      <c r="N368" s="3" t="str">
        <f t="shared" si="16"/>
        <v>20–40%</v>
      </c>
      <c r="O368" s="2">
        <v>22.087554999999998</v>
      </c>
      <c r="P368" s="2" t="str">
        <f t="shared" si="17"/>
        <v>20–25 km/h</v>
      </c>
      <c r="Q368" s="2">
        <v>244</v>
      </c>
      <c r="R368" s="2">
        <v>1707</v>
      </c>
      <c r="S368" s="2">
        <v>1951</v>
      </c>
    </row>
    <row r="369" spans="1:19" x14ac:dyDescent="0.3">
      <c r="A369" s="2">
        <v>368</v>
      </c>
      <c r="B369" s="1">
        <v>43525</v>
      </c>
      <c r="C369" t="s">
        <v>907</v>
      </c>
      <c r="D369">
        <v>2019</v>
      </c>
      <c r="E369" t="s">
        <v>921</v>
      </c>
      <c r="F369" t="s">
        <v>908</v>
      </c>
      <c r="G369" t="s">
        <v>911</v>
      </c>
      <c r="H369" t="s">
        <v>909</v>
      </c>
      <c r="I369" t="s">
        <v>917</v>
      </c>
      <c r="J369" s="2">
        <v>6.15</v>
      </c>
      <c r="K369" s="2">
        <v>6.3137499999999998</v>
      </c>
      <c r="L369" s="2" t="str">
        <f t="shared" si="15"/>
        <v>5–10°C</v>
      </c>
      <c r="M369" s="3">
        <v>44.125</v>
      </c>
      <c r="N369" s="3" t="str">
        <f t="shared" si="16"/>
        <v>40–60%</v>
      </c>
      <c r="O369" s="2">
        <v>24.499956999999998</v>
      </c>
      <c r="P369" s="2" t="str">
        <f t="shared" si="17"/>
        <v>20–25 km/h</v>
      </c>
      <c r="Q369" s="2">
        <v>89</v>
      </c>
      <c r="R369" s="2">
        <v>2147</v>
      </c>
      <c r="S369" s="2">
        <v>2236</v>
      </c>
    </row>
    <row r="370" spans="1:19" x14ac:dyDescent="0.3">
      <c r="A370" s="2">
        <v>369</v>
      </c>
      <c r="B370" s="1">
        <v>43556</v>
      </c>
      <c r="C370" t="s">
        <v>907</v>
      </c>
      <c r="D370">
        <v>2019</v>
      </c>
      <c r="E370" t="s">
        <v>921</v>
      </c>
      <c r="F370" t="s">
        <v>908</v>
      </c>
      <c r="G370" t="s">
        <v>912</v>
      </c>
      <c r="H370" t="s">
        <v>909</v>
      </c>
      <c r="I370" t="s">
        <v>918</v>
      </c>
      <c r="J370" s="2">
        <v>4.4074999999999998</v>
      </c>
      <c r="K370" s="2">
        <v>5.96685</v>
      </c>
      <c r="L370" s="2" t="str">
        <f t="shared" si="15"/>
        <v>5–10°C</v>
      </c>
      <c r="M370" s="3">
        <v>41.458300000000001</v>
      </c>
      <c r="N370" s="3" t="str">
        <f t="shared" si="16"/>
        <v>40–60%</v>
      </c>
      <c r="O370" s="2">
        <v>12.3749</v>
      </c>
      <c r="P370" s="2" t="str">
        <f t="shared" si="17"/>
        <v>10–15 km/h</v>
      </c>
      <c r="Q370" s="2">
        <v>95</v>
      </c>
      <c r="R370" s="2">
        <v>2273</v>
      </c>
      <c r="S370" s="2">
        <v>2368</v>
      </c>
    </row>
    <row r="371" spans="1:19" x14ac:dyDescent="0.3">
      <c r="A371" s="2">
        <v>370</v>
      </c>
      <c r="B371" s="1">
        <v>43586</v>
      </c>
      <c r="C371" t="s">
        <v>907</v>
      </c>
      <c r="D371">
        <v>2019</v>
      </c>
      <c r="E371" t="s">
        <v>921</v>
      </c>
      <c r="F371" t="s">
        <v>908</v>
      </c>
      <c r="G371" t="s">
        <v>913</v>
      </c>
      <c r="H371" t="s">
        <v>909</v>
      </c>
      <c r="I371" t="s">
        <v>917</v>
      </c>
      <c r="J371" s="2">
        <v>10.899153</v>
      </c>
      <c r="K371" s="2">
        <v>13.9206</v>
      </c>
      <c r="L371" s="2" t="str">
        <f t="shared" si="15"/>
        <v>10–15°C</v>
      </c>
      <c r="M371" s="3">
        <v>52.416699999999999</v>
      </c>
      <c r="N371" s="3" t="str">
        <f t="shared" si="16"/>
        <v>40–60%</v>
      </c>
      <c r="O371" s="2">
        <v>8.7091290000000008</v>
      </c>
      <c r="P371" s="2" t="str">
        <f t="shared" si="17"/>
        <v>5–10 km/h</v>
      </c>
      <c r="Q371" s="2">
        <v>140</v>
      </c>
      <c r="R371" s="2">
        <v>3132</v>
      </c>
      <c r="S371" s="2">
        <v>3272</v>
      </c>
    </row>
    <row r="372" spans="1:19" x14ac:dyDescent="0.3">
      <c r="A372" s="2">
        <v>371</v>
      </c>
      <c r="B372" s="1">
        <v>43617</v>
      </c>
      <c r="C372" t="s">
        <v>907</v>
      </c>
      <c r="D372">
        <v>2019</v>
      </c>
      <c r="E372" t="s">
        <v>921</v>
      </c>
      <c r="F372" t="s">
        <v>908</v>
      </c>
      <c r="G372" t="s">
        <v>914</v>
      </c>
      <c r="H372" t="s">
        <v>909</v>
      </c>
      <c r="I372" t="s">
        <v>917</v>
      </c>
      <c r="J372" s="2">
        <v>13.700847</v>
      </c>
      <c r="K372" s="2">
        <v>17.013349999999999</v>
      </c>
      <c r="L372" s="2" t="str">
        <f t="shared" si="15"/>
        <v>15–20°C</v>
      </c>
      <c r="M372" s="3">
        <v>54.208300000000001</v>
      </c>
      <c r="N372" s="3" t="str">
        <f t="shared" si="16"/>
        <v>40–60%</v>
      </c>
      <c r="O372" s="2">
        <v>11.249836</v>
      </c>
      <c r="P372" s="2" t="str">
        <f t="shared" si="17"/>
        <v>10–15 km/h</v>
      </c>
      <c r="Q372" s="2">
        <v>307</v>
      </c>
      <c r="R372" s="2">
        <v>3791</v>
      </c>
      <c r="S372" s="2">
        <v>4098</v>
      </c>
    </row>
    <row r="373" spans="1:19" x14ac:dyDescent="0.3">
      <c r="A373" s="2">
        <v>372</v>
      </c>
      <c r="B373" s="1">
        <v>43647</v>
      </c>
      <c r="C373" t="s">
        <v>907</v>
      </c>
      <c r="D373">
        <v>2019</v>
      </c>
      <c r="E373" t="s">
        <v>921</v>
      </c>
      <c r="F373" t="s">
        <v>908</v>
      </c>
      <c r="G373" t="s">
        <v>915</v>
      </c>
      <c r="H373" t="s">
        <v>908</v>
      </c>
      <c r="I373" t="s">
        <v>917</v>
      </c>
      <c r="J373" s="2">
        <v>16.126653000000001</v>
      </c>
      <c r="K373" s="2">
        <v>19.53895</v>
      </c>
      <c r="L373" s="2" t="str">
        <f t="shared" si="15"/>
        <v>15–20°C</v>
      </c>
      <c r="M373" s="3">
        <v>53.166699999999999</v>
      </c>
      <c r="N373" s="3" t="str">
        <f t="shared" si="16"/>
        <v>40–60%</v>
      </c>
      <c r="O373" s="2">
        <v>11.708786</v>
      </c>
      <c r="P373" s="2" t="str">
        <f t="shared" si="17"/>
        <v>10–15 km/h</v>
      </c>
      <c r="Q373" s="2">
        <v>1070</v>
      </c>
      <c r="R373" s="2">
        <v>3451</v>
      </c>
      <c r="S373" s="2">
        <v>4521</v>
      </c>
    </row>
    <row r="374" spans="1:19" x14ac:dyDescent="0.3">
      <c r="A374" s="2">
        <v>373</v>
      </c>
      <c r="B374" s="1">
        <v>43678</v>
      </c>
      <c r="C374" t="s">
        <v>907</v>
      </c>
      <c r="D374">
        <v>2019</v>
      </c>
      <c r="E374" t="s">
        <v>921</v>
      </c>
      <c r="F374" t="s">
        <v>908</v>
      </c>
      <c r="G374" t="s">
        <v>916</v>
      </c>
      <c r="H374" t="s">
        <v>908</v>
      </c>
      <c r="I374" t="s">
        <v>917</v>
      </c>
      <c r="J374" s="2">
        <v>13.8375</v>
      </c>
      <c r="K374" s="2">
        <v>17.012899999999998</v>
      </c>
      <c r="L374" s="2" t="str">
        <f t="shared" si="15"/>
        <v>15–20°C</v>
      </c>
      <c r="M374" s="3">
        <v>46.5</v>
      </c>
      <c r="N374" s="3" t="str">
        <f t="shared" si="16"/>
        <v>40–60%</v>
      </c>
      <c r="O374" s="2">
        <v>12.833314</v>
      </c>
      <c r="P374" s="2" t="str">
        <f t="shared" si="17"/>
        <v>10–15 km/h</v>
      </c>
      <c r="Q374" s="2">
        <v>599</v>
      </c>
      <c r="R374" s="2">
        <v>2826</v>
      </c>
      <c r="S374" s="2">
        <v>3425</v>
      </c>
    </row>
    <row r="375" spans="1:19" x14ac:dyDescent="0.3">
      <c r="A375" s="2">
        <v>374</v>
      </c>
      <c r="B375" s="1">
        <v>43709</v>
      </c>
      <c r="C375" t="s">
        <v>907</v>
      </c>
      <c r="D375">
        <v>2019</v>
      </c>
      <c r="E375" t="s">
        <v>921</v>
      </c>
      <c r="F375" t="s">
        <v>908</v>
      </c>
      <c r="G375" t="s">
        <v>910</v>
      </c>
      <c r="H375" t="s">
        <v>909</v>
      </c>
      <c r="I375" t="s">
        <v>918</v>
      </c>
      <c r="J375" s="2">
        <v>9.1908469999999998</v>
      </c>
      <c r="K375" s="2">
        <v>12.373950000000001</v>
      </c>
      <c r="L375" s="2" t="str">
        <f t="shared" si="15"/>
        <v>10–15°C</v>
      </c>
      <c r="M375" s="3">
        <v>70.166700000000006</v>
      </c>
      <c r="N375" s="3" t="str">
        <f t="shared" si="16"/>
        <v>60–80%</v>
      </c>
      <c r="O375" s="2">
        <v>6.6262999999999996</v>
      </c>
      <c r="P375" s="2" t="str">
        <f t="shared" si="17"/>
        <v>5–10 km/h</v>
      </c>
      <c r="Q375" s="2">
        <v>106</v>
      </c>
      <c r="R375" s="2">
        <v>2270</v>
      </c>
      <c r="S375" s="2">
        <v>2376</v>
      </c>
    </row>
    <row r="376" spans="1:19" x14ac:dyDescent="0.3">
      <c r="A376" s="2">
        <v>375</v>
      </c>
      <c r="B376" s="1">
        <v>43739</v>
      </c>
      <c r="C376" t="s">
        <v>907</v>
      </c>
      <c r="D376">
        <v>2019</v>
      </c>
      <c r="E376" t="s">
        <v>921</v>
      </c>
      <c r="F376" t="s">
        <v>908</v>
      </c>
      <c r="G376" t="s">
        <v>911</v>
      </c>
      <c r="H376" t="s">
        <v>909</v>
      </c>
      <c r="I376" t="s">
        <v>917</v>
      </c>
      <c r="J376" s="2">
        <v>12.656535999999999</v>
      </c>
      <c r="K376" s="2">
        <v>15.9413</v>
      </c>
      <c r="L376" s="2" t="str">
        <f t="shared" si="15"/>
        <v>15–20°C</v>
      </c>
      <c r="M376" s="3">
        <v>64.652199999999993</v>
      </c>
      <c r="N376" s="3" t="str">
        <f t="shared" si="16"/>
        <v>60–80%</v>
      </c>
      <c r="O376" s="2">
        <v>12.565984</v>
      </c>
      <c r="P376" s="2" t="str">
        <f t="shared" si="17"/>
        <v>10–15 km/h</v>
      </c>
      <c r="Q376" s="2">
        <v>173</v>
      </c>
      <c r="R376" s="2">
        <v>3425</v>
      </c>
      <c r="S376" s="2">
        <v>3598</v>
      </c>
    </row>
    <row r="377" spans="1:19" x14ac:dyDescent="0.3">
      <c r="A377" s="2">
        <v>376</v>
      </c>
      <c r="B377" s="1">
        <v>43770</v>
      </c>
      <c r="C377" t="s">
        <v>907</v>
      </c>
      <c r="D377">
        <v>2019</v>
      </c>
      <c r="E377" t="s">
        <v>921</v>
      </c>
      <c r="F377" t="s">
        <v>908</v>
      </c>
      <c r="G377" t="s">
        <v>912</v>
      </c>
      <c r="H377" t="s">
        <v>909</v>
      </c>
      <c r="I377" t="s">
        <v>918</v>
      </c>
      <c r="J377" s="2">
        <v>11.240847</v>
      </c>
      <c r="K377" s="2">
        <v>14.14105</v>
      </c>
      <c r="L377" s="2" t="str">
        <f t="shared" si="15"/>
        <v>10–15°C</v>
      </c>
      <c r="M377" s="3">
        <v>84.75</v>
      </c>
      <c r="N377" s="3" t="str">
        <f t="shared" si="16"/>
        <v>80–100%</v>
      </c>
      <c r="O377" s="2">
        <v>8.7918070000000004</v>
      </c>
      <c r="P377" s="2" t="str">
        <f t="shared" si="17"/>
        <v>5–10 km/h</v>
      </c>
      <c r="Q377" s="2">
        <v>92</v>
      </c>
      <c r="R377" s="2">
        <v>2085</v>
      </c>
      <c r="S377" s="2">
        <v>2177</v>
      </c>
    </row>
    <row r="378" spans="1:19" x14ac:dyDescent="0.3">
      <c r="A378" s="2">
        <v>377</v>
      </c>
      <c r="B378" s="1">
        <v>43800</v>
      </c>
      <c r="C378" t="s">
        <v>907</v>
      </c>
      <c r="D378">
        <v>2019</v>
      </c>
      <c r="E378" t="s">
        <v>921</v>
      </c>
      <c r="F378" t="s">
        <v>908</v>
      </c>
      <c r="G378" t="s">
        <v>913</v>
      </c>
      <c r="H378" t="s">
        <v>909</v>
      </c>
      <c r="I378" t="s">
        <v>918</v>
      </c>
      <c r="J378" s="2">
        <v>15.682499999999999</v>
      </c>
      <c r="K378" s="2">
        <v>19.096900000000002</v>
      </c>
      <c r="L378" s="2" t="str">
        <f t="shared" si="15"/>
        <v>15–20°C</v>
      </c>
      <c r="M378" s="3">
        <v>80.291700000000006</v>
      </c>
      <c r="N378" s="3" t="str">
        <f t="shared" si="16"/>
        <v>80–100%</v>
      </c>
      <c r="O378" s="2">
        <v>12.124789</v>
      </c>
      <c r="P378" s="2" t="str">
        <f t="shared" si="17"/>
        <v>10–15 km/h</v>
      </c>
      <c r="Q378" s="2">
        <v>269</v>
      </c>
      <c r="R378" s="2">
        <v>3828</v>
      </c>
      <c r="S378" s="2">
        <v>4097</v>
      </c>
    </row>
    <row r="379" spans="1:19" x14ac:dyDescent="0.3">
      <c r="A379" s="2">
        <v>378</v>
      </c>
      <c r="B379" s="1" t="s">
        <v>682</v>
      </c>
      <c r="C379" t="s">
        <v>907</v>
      </c>
      <c r="D379">
        <v>2019</v>
      </c>
      <c r="E379" t="s">
        <v>921</v>
      </c>
      <c r="F379" t="s">
        <v>908</v>
      </c>
      <c r="G379" t="s">
        <v>914</v>
      </c>
      <c r="H379" t="s">
        <v>909</v>
      </c>
      <c r="I379" t="s">
        <v>917</v>
      </c>
      <c r="J379" s="2">
        <v>11.240847</v>
      </c>
      <c r="K379" s="2">
        <v>12.4681</v>
      </c>
      <c r="L379" s="2" t="str">
        <f t="shared" si="15"/>
        <v>10–15°C</v>
      </c>
      <c r="M379" s="3">
        <v>50.75</v>
      </c>
      <c r="N379" s="3" t="str">
        <f t="shared" si="16"/>
        <v>40–60%</v>
      </c>
      <c r="O379" s="2">
        <v>25.333235999999999</v>
      </c>
      <c r="P379" s="2" t="str">
        <f t="shared" si="17"/>
        <v>25–30 km/h</v>
      </c>
      <c r="Q379" s="2">
        <v>174</v>
      </c>
      <c r="R379" s="2">
        <v>3040</v>
      </c>
      <c r="S379" s="2">
        <v>3214</v>
      </c>
    </row>
    <row r="380" spans="1:19" x14ac:dyDescent="0.3">
      <c r="A380" s="2">
        <v>379</v>
      </c>
      <c r="B380" s="1" t="s">
        <v>683</v>
      </c>
      <c r="C380" t="s">
        <v>907</v>
      </c>
      <c r="D380">
        <v>2019</v>
      </c>
      <c r="E380" t="s">
        <v>921</v>
      </c>
      <c r="F380" t="s">
        <v>908</v>
      </c>
      <c r="G380" t="s">
        <v>915</v>
      </c>
      <c r="H380" t="s">
        <v>908</v>
      </c>
      <c r="I380" t="s">
        <v>917</v>
      </c>
      <c r="J380" s="2">
        <v>7.38</v>
      </c>
      <c r="K380" s="2">
        <v>9.1543500000000009</v>
      </c>
      <c r="L380" s="2" t="str">
        <f t="shared" si="15"/>
        <v>5–10°C</v>
      </c>
      <c r="M380" s="3">
        <v>45.75</v>
      </c>
      <c r="N380" s="3" t="str">
        <f t="shared" si="16"/>
        <v>40–60%</v>
      </c>
      <c r="O380" s="2">
        <v>12.541261</v>
      </c>
      <c r="P380" s="2" t="str">
        <f t="shared" si="17"/>
        <v>10–15 km/h</v>
      </c>
      <c r="Q380" s="2">
        <v>333</v>
      </c>
      <c r="R380" s="2">
        <v>2160</v>
      </c>
      <c r="S380" s="2">
        <v>2493</v>
      </c>
    </row>
    <row r="381" spans="1:19" x14ac:dyDescent="0.3">
      <c r="A381" s="2">
        <v>380</v>
      </c>
      <c r="B381" s="1" t="s">
        <v>684</v>
      </c>
      <c r="C381" t="s">
        <v>907</v>
      </c>
      <c r="D381">
        <v>2019</v>
      </c>
      <c r="E381" t="s">
        <v>921</v>
      </c>
      <c r="F381" t="s">
        <v>908</v>
      </c>
      <c r="G381" t="s">
        <v>916</v>
      </c>
      <c r="H381" t="s">
        <v>908</v>
      </c>
      <c r="I381" t="s">
        <v>917</v>
      </c>
      <c r="J381" s="2">
        <v>6.8333469999999998</v>
      </c>
      <c r="K381" s="2">
        <v>8.0812500000000007</v>
      </c>
      <c r="L381" s="2" t="str">
        <f t="shared" si="15"/>
        <v>5–10°C</v>
      </c>
      <c r="M381" s="3">
        <v>41.916699999999999</v>
      </c>
      <c r="N381" s="3" t="str">
        <f t="shared" si="16"/>
        <v>40–60%</v>
      </c>
      <c r="O381" s="2">
        <v>16.834285999999999</v>
      </c>
      <c r="P381" s="2" t="str">
        <f t="shared" si="17"/>
        <v>15–20 km/h</v>
      </c>
      <c r="Q381" s="2">
        <v>284</v>
      </c>
      <c r="R381" s="2">
        <v>2027</v>
      </c>
      <c r="S381" s="2">
        <v>2311</v>
      </c>
    </row>
    <row r="382" spans="1:19" x14ac:dyDescent="0.3">
      <c r="A382" s="2">
        <v>381</v>
      </c>
      <c r="B382" s="1" t="s">
        <v>685</v>
      </c>
      <c r="C382" t="s">
        <v>907</v>
      </c>
      <c r="D382">
        <v>2019</v>
      </c>
      <c r="E382" t="s">
        <v>921</v>
      </c>
      <c r="F382" t="s">
        <v>909</v>
      </c>
      <c r="G382" t="s">
        <v>910</v>
      </c>
      <c r="H382" t="s">
        <v>908</v>
      </c>
      <c r="I382" t="s">
        <v>917</v>
      </c>
      <c r="J382" s="2">
        <v>7.79</v>
      </c>
      <c r="K382" s="2">
        <v>9.5331499999999991</v>
      </c>
      <c r="L382" s="2" t="str">
        <f t="shared" si="15"/>
        <v>5–10°C</v>
      </c>
      <c r="M382" s="3">
        <v>52.25</v>
      </c>
      <c r="N382" s="3" t="str">
        <f t="shared" si="16"/>
        <v>40–60%</v>
      </c>
      <c r="O382" s="2">
        <v>15.500985999999999</v>
      </c>
      <c r="P382" s="2" t="str">
        <f t="shared" si="17"/>
        <v>15–20 km/h</v>
      </c>
      <c r="Q382" s="2">
        <v>217</v>
      </c>
      <c r="R382" s="2">
        <v>2081</v>
      </c>
      <c r="S382" s="2">
        <v>2298</v>
      </c>
    </row>
    <row r="383" spans="1:19" x14ac:dyDescent="0.3">
      <c r="A383" s="2">
        <v>382</v>
      </c>
      <c r="B383" s="1" t="s">
        <v>686</v>
      </c>
      <c r="C383" t="s">
        <v>907</v>
      </c>
      <c r="D383">
        <v>2019</v>
      </c>
      <c r="E383" t="s">
        <v>921</v>
      </c>
      <c r="F383" t="s">
        <v>908</v>
      </c>
      <c r="G383" t="s">
        <v>911</v>
      </c>
      <c r="H383" t="s">
        <v>909</v>
      </c>
      <c r="I383" t="s">
        <v>918</v>
      </c>
      <c r="J383" s="2">
        <v>15.294763</v>
      </c>
      <c r="K383" s="2">
        <v>18.213899999999999</v>
      </c>
      <c r="L383" s="2" t="str">
        <f t="shared" si="15"/>
        <v>15–20°C</v>
      </c>
      <c r="M383" s="3">
        <v>71.608699999999999</v>
      </c>
      <c r="N383" s="3" t="str">
        <f t="shared" si="16"/>
        <v>60–80%</v>
      </c>
      <c r="O383" s="2">
        <v>23.39171</v>
      </c>
      <c r="P383" s="2" t="str">
        <f t="shared" si="17"/>
        <v>20–25 km/h</v>
      </c>
      <c r="Q383" s="2">
        <v>127</v>
      </c>
      <c r="R383" s="2">
        <v>2808</v>
      </c>
      <c r="S383" s="2">
        <v>2935</v>
      </c>
    </row>
    <row r="384" spans="1:19" x14ac:dyDescent="0.3">
      <c r="A384" s="2">
        <v>383</v>
      </c>
      <c r="B384" s="1" t="s">
        <v>687</v>
      </c>
      <c r="C384" t="s">
        <v>907</v>
      </c>
      <c r="D384">
        <v>2019</v>
      </c>
      <c r="E384" t="s">
        <v>921</v>
      </c>
      <c r="F384" t="s">
        <v>908</v>
      </c>
      <c r="G384" t="s">
        <v>912</v>
      </c>
      <c r="H384" t="s">
        <v>909</v>
      </c>
      <c r="I384" t="s">
        <v>917</v>
      </c>
      <c r="J384" s="2">
        <v>12.436653</v>
      </c>
      <c r="K384" s="2">
        <v>13.762700000000001</v>
      </c>
      <c r="L384" s="2" t="str">
        <f t="shared" si="15"/>
        <v>10–15°C</v>
      </c>
      <c r="M384" s="3">
        <v>44.333300000000001</v>
      </c>
      <c r="N384" s="3" t="str">
        <f t="shared" si="16"/>
        <v>40–60%</v>
      </c>
      <c r="O384" s="2">
        <v>27.833742999999998</v>
      </c>
      <c r="P384" s="2" t="str">
        <f t="shared" si="17"/>
        <v>25–30 km/h</v>
      </c>
      <c r="Q384" s="2">
        <v>109</v>
      </c>
      <c r="R384" s="2">
        <v>3267</v>
      </c>
      <c r="S384" s="2">
        <v>3376</v>
      </c>
    </row>
    <row r="385" spans="1:19" x14ac:dyDescent="0.3">
      <c r="A385" s="2">
        <v>384</v>
      </c>
      <c r="B385" s="1" t="s">
        <v>688</v>
      </c>
      <c r="C385" t="s">
        <v>907</v>
      </c>
      <c r="D385">
        <v>2019</v>
      </c>
      <c r="E385" t="s">
        <v>921</v>
      </c>
      <c r="F385" t="s">
        <v>908</v>
      </c>
      <c r="G385" t="s">
        <v>913</v>
      </c>
      <c r="H385" t="s">
        <v>909</v>
      </c>
      <c r="I385" t="s">
        <v>917</v>
      </c>
      <c r="J385" s="2">
        <v>7.79</v>
      </c>
      <c r="K385" s="2">
        <v>9.5018999999999991</v>
      </c>
      <c r="L385" s="2" t="str">
        <f t="shared" si="15"/>
        <v>5–10°C</v>
      </c>
      <c r="M385" s="3">
        <v>49.75</v>
      </c>
      <c r="N385" s="3" t="str">
        <f t="shared" si="16"/>
        <v>40–60%</v>
      </c>
      <c r="O385" s="2">
        <v>14.750586</v>
      </c>
      <c r="P385" s="2" t="str">
        <f t="shared" si="17"/>
        <v>10–15 km/h</v>
      </c>
      <c r="Q385" s="2">
        <v>130</v>
      </c>
      <c r="R385" s="2">
        <v>3162</v>
      </c>
      <c r="S385" s="2">
        <v>3292</v>
      </c>
    </row>
    <row r="386" spans="1:19" x14ac:dyDescent="0.3">
      <c r="A386" s="2">
        <v>385</v>
      </c>
      <c r="B386" s="1" t="s">
        <v>689</v>
      </c>
      <c r="C386" t="s">
        <v>907</v>
      </c>
      <c r="D386">
        <v>2019</v>
      </c>
      <c r="E386" t="s">
        <v>921</v>
      </c>
      <c r="F386" t="s">
        <v>908</v>
      </c>
      <c r="G386" t="s">
        <v>914</v>
      </c>
      <c r="H386" t="s">
        <v>909</v>
      </c>
      <c r="I386" t="s">
        <v>918</v>
      </c>
      <c r="J386" s="2">
        <v>8.9175000000000004</v>
      </c>
      <c r="K386" s="2">
        <v>11.0479</v>
      </c>
      <c r="L386" s="2" t="str">
        <f t="shared" ref="L386:L449" si="18">FLOOR(K386,5)&amp;"–"&amp;FLOOR(K386,5)+5&amp;"°C"</f>
        <v>10–15°C</v>
      </c>
      <c r="M386" s="3">
        <v>45</v>
      </c>
      <c r="N386" s="3" t="str">
        <f t="shared" ref="N386:N449" si="19">FLOOR(M386,20)&amp;"–"&amp;FLOOR(M386,20)+20&amp;"%"</f>
        <v>40–60%</v>
      </c>
      <c r="O386" s="2">
        <v>13.584250000000001</v>
      </c>
      <c r="P386" s="2" t="str">
        <f t="shared" ref="P386:P449" si="20">FLOOR(O386,5)&amp;"–"&amp;FLOOR(O386,5)+5&amp;" km/h"</f>
        <v>10–15 km/h</v>
      </c>
      <c r="Q386" s="2">
        <v>115</v>
      </c>
      <c r="R386" s="2">
        <v>3048</v>
      </c>
      <c r="S386" s="2">
        <v>3163</v>
      </c>
    </row>
    <row r="387" spans="1:19" x14ac:dyDescent="0.3">
      <c r="A387" s="2">
        <v>386</v>
      </c>
      <c r="B387" s="1" t="s">
        <v>690</v>
      </c>
      <c r="C387" t="s">
        <v>907</v>
      </c>
      <c r="D387">
        <v>2019</v>
      </c>
      <c r="E387" t="s">
        <v>921</v>
      </c>
      <c r="F387" t="s">
        <v>908</v>
      </c>
      <c r="G387" t="s">
        <v>915</v>
      </c>
      <c r="H387" t="s">
        <v>908</v>
      </c>
      <c r="I387" t="s">
        <v>918</v>
      </c>
      <c r="J387" s="2">
        <v>7.1066529999999997</v>
      </c>
      <c r="K387" s="2">
        <v>8.7437500000000004</v>
      </c>
      <c r="L387" s="2" t="str">
        <f t="shared" si="18"/>
        <v>5–10°C</v>
      </c>
      <c r="M387" s="3">
        <v>83.125</v>
      </c>
      <c r="N387" s="3" t="str">
        <f t="shared" si="19"/>
        <v>80–100%</v>
      </c>
      <c r="O387" s="2">
        <v>14.917014</v>
      </c>
      <c r="P387" s="2" t="str">
        <f t="shared" si="20"/>
        <v>10–15 km/h</v>
      </c>
      <c r="Q387" s="2">
        <v>67</v>
      </c>
      <c r="R387" s="2">
        <v>1234</v>
      </c>
      <c r="S387" s="2">
        <v>1301</v>
      </c>
    </row>
    <row r="388" spans="1:19" x14ac:dyDescent="0.3">
      <c r="A388" s="2">
        <v>387</v>
      </c>
      <c r="B388" s="1" t="s">
        <v>691</v>
      </c>
      <c r="C388" t="s">
        <v>907</v>
      </c>
      <c r="D388">
        <v>2019</v>
      </c>
      <c r="E388" t="s">
        <v>921</v>
      </c>
      <c r="F388" t="s">
        <v>908</v>
      </c>
      <c r="G388" t="s">
        <v>916</v>
      </c>
      <c r="H388" t="s">
        <v>908</v>
      </c>
      <c r="I388" t="s">
        <v>918</v>
      </c>
      <c r="J388" s="2">
        <v>6.6624999999999996</v>
      </c>
      <c r="K388" s="2">
        <v>8.1125000000000007</v>
      </c>
      <c r="L388" s="2" t="str">
        <f t="shared" si="18"/>
        <v>5–10°C</v>
      </c>
      <c r="M388" s="3">
        <v>79.625</v>
      </c>
      <c r="N388" s="3" t="str">
        <f t="shared" si="19"/>
        <v>60–80%</v>
      </c>
      <c r="O388" s="2">
        <v>13.375745999999999</v>
      </c>
      <c r="P388" s="2" t="str">
        <f t="shared" si="20"/>
        <v>10–15 km/h</v>
      </c>
      <c r="Q388" s="2">
        <v>196</v>
      </c>
      <c r="R388" s="2">
        <v>1781</v>
      </c>
      <c r="S388" s="2">
        <v>1977</v>
      </c>
    </row>
    <row r="389" spans="1:19" x14ac:dyDescent="0.3">
      <c r="A389" s="2">
        <v>388</v>
      </c>
      <c r="B389" s="1" t="s">
        <v>692</v>
      </c>
      <c r="C389" t="s">
        <v>907</v>
      </c>
      <c r="D389">
        <v>2019</v>
      </c>
      <c r="E389" t="s">
        <v>921</v>
      </c>
      <c r="F389" t="s">
        <v>908</v>
      </c>
      <c r="G389" t="s">
        <v>910</v>
      </c>
      <c r="H389" t="s">
        <v>909</v>
      </c>
      <c r="I389" t="s">
        <v>918</v>
      </c>
      <c r="J389" s="2">
        <v>8.9516530000000003</v>
      </c>
      <c r="K389" s="2">
        <v>12.152900000000001</v>
      </c>
      <c r="L389" s="2" t="str">
        <f t="shared" si="18"/>
        <v>10–15°C</v>
      </c>
      <c r="M389" s="3">
        <v>91.125</v>
      </c>
      <c r="N389" s="3" t="str">
        <f t="shared" si="19"/>
        <v>80–100%</v>
      </c>
      <c r="O389" s="2">
        <v>7.4174360000000004</v>
      </c>
      <c r="P389" s="2" t="str">
        <f t="shared" si="20"/>
        <v>5–10 km/h</v>
      </c>
      <c r="Q389" s="2">
        <v>145</v>
      </c>
      <c r="R389" s="2">
        <v>2287</v>
      </c>
      <c r="S389" s="2">
        <v>2432</v>
      </c>
    </row>
    <row r="390" spans="1:19" x14ac:dyDescent="0.3">
      <c r="A390" s="2">
        <v>389</v>
      </c>
      <c r="B390" s="1" t="s">
        <v>693</v>
      </c>
      <c r="C390" t="s">
        <v>907</v>
      </c>
      <c r="D390">
        <v>2019</v>
      </c>
      <c r="E390" t="s">
        <v>921</v>
      </c>
      <c r="F390" t="s">
        <v>908</v>
      </c>
      <c r="G390" t="s">
        <v>911</v>
      </c>
      <c r="H390" t="s">
        <v>909</v>
      </c>
      <c r="I390" t="s">
        <v>917</v>
      </c>
      <c r="J390" s="2">
        <v>14.0425</v>
      </c>
      <c r="K390" s="2">
        <v>17.455400000000001</v>
      </c>
      <c r="L390" s="2" t="str">
        <f t="shared" si="18"/>
        <v>15–20°C</v>
      </c>
      <c r="M390" s="3">
        <v>83.583299999999994</v>
      </c>
      <c r="N390" s="3" t="str">
        <f t="shared" si="19"/>
        <v>80–100%</v>
      </c>
      <c r="O390" s="2">
        <v>8.292389</v>
      </c>
      <c r="P390" s="2" t="str">
        <f t="shared" si="20"/>
        <v>5–10 km/h</v>
      </c>
      <c r="Q390" s="2">
        <v>439</v>
      </c>
      <c r="R390" s="2">
        <v>3900</v>
      </c>
      <c r="S390" s="2">
        <v>4339</v>
      </c>
    </row>
    <row r="391" spans="1:19" x14ac:dyDescent="0.3">
      <c r="A391" s="2">
        <v>390</v>
      </c>
      <c r="B391" s="1" t="s">
        <v>694</v>
      </c>
      <c r="C391" t="s">
        <v>907</v>
      </c>
      <c r="D391">
        <v>2019</v>
      </c>
      <c r="E391" t="s">
        <v>921</v>
      </c>
      <c r="F391" t="s">
        <v>908</v>
      </c>
      <c r="G391" t="s">
        <v>912</v>
      </c>
      <c r="H391" t="s">
        <v>909</v>
      </c>
      <c r="I391" t="s">
        <v>917</v>
      </c>
      <c r="J391" s="2">
        <v>12.060847000000001</v>
      </c>
      <c r="K391" s="2">
        <v>14.74105</v>
      </c>
      <c r="L391" s="2" t="str">
        <f t="shared" si="18"/>
        <v>10–15°C</v>
      </c>
      <c r="M391" s="3">
        <v>64.375</v>
      </c>
      <c r="N391" s="3" t="str">
        <f t="shared" si="19"/>
        <v>60–80%</v>
      </c>
      <c r="O391" s="2">
        <v>10.791757</v>
      </c>
      <c r="P391" s="2" t="str">
        <f t="shared" si="20"/>
        <v>10–15 km/h</v>
      </c>
      <c r="Q391" s="2">
        <v>467</v>
      </c>
      <c r="R391" s="2">
        <v>3803</v>
      </c>
      <c r="S391" s="2">
        <v>4270</v>
      </c>
    </row>
    <row r="392" spans="1:19" x14ac:dyDescent="0.3">
      <c r="A392" s="2">
        <v>391</v>
      </c>
      <c r="B392" s="1" t="s">
        <v>695</v>
      </c>
      <c r="C392" t="s">
        <v>907</v>
      </c>
      <c r="D392">
        <v>2019</v>
      </c>
      <c r="E392" t="s">
        <v>921</v>
      </c>
      <c r="F392" t="s">
        <v>908</v>
      </c>
      <c r="G392" t="s">
        <v>913</v>
      </c>
      <c r="H392" t="s">
        <v>909</v>
      </c>
      <c r="I392" t="s">
        <v>918</v>
      </c>
      <c r="J392" s="2">
        <v>14.008347000000001</v>
      </c>
      <c r="K392" s="2">
        <v>17.802499999999998</v>
      </c>
      <c r="L392" s="2" t="str">
        <f t="shared" si="18"/>
        <v>15–20°C</v>
      </c>
      <c r="M392" s="3">
        <v>76.958299999999994</v>
      </c>
      <c r="N392" s="3" t="str">
        <f t="shared" si="19"/>
        <v>60–80%</v>
      </c>
      <c r="O392" s="2">
        <v>4.9175186000000002</v>
      </c>
      <c r="P392" s="2" t="str">
        <f t="shared" si="20"/>
        <v>0–5 km/h</v>
      </c>
      <c r="Q392" s="2">
        <v>244</v>
      </c>
      <c r="R392" s="2">
        <v>3831</v>
      </c>
      <c r="S392" s="2">
        <v>4075</v>
      </c>
    </row>
    <row r="393" spans="1:19" x14ac:dyDescent="0.3">
      <c r="A393" s="2">
        <v>392</v>
      </c>
      <c r="B393" s="1" t="s">
        <v>696</v>
      </c>
      <c r="C393" t="s">
        <v>907</v>
      </c>
      <c r="D393">
        <v>2019</v>
      </c>
      <c r="E393" t="s">
        <v>921</v>
      </c>
      <c r="F393" t="s">
        <v>908</v>
      </c>
      <c r="G393" t="s">
        <v>914</v>
      </c>
      <c r="H393" t="s">
        <v>909</v>
      </c>
      <c r="I393" t="s">
        <v>918</v>
      </c>
      <c r="J393" s="2">
        <v>17.425000000000001</v>
      </c>
      <c r="K393" s="2">
        <v>20.76915</v>
      </c>
      <c r="L393" s="2" t="str">
        <f t="shared" si="18"/>
        <v>20–25°C</v>
      </c>
      <c r="M393" s="3">
        <v>74.125</v>
      </c>
      <c r="N393" s="3" t="str">
        <f t="shared" si="19"/>
        <v>60–80%</v>
      </c>
      <c r="O393" s="2">
        <v>22.958689</v>
      </c>
      <c r="P393" s="2" t="str">
        <f t="shared" si="20"/>
        <v>20–25 km/h</v>
      </c>
      <c r="Q393" s="2">
        <v>269</v>
      </c>
      <c r="R393" s="2">
        <v>3187</v>
      </c>
      <c r="S393" s="2">
        <v>3456</v>
      </c>
    </row>
    <row r="394" spans="1:19" x14ac:dyDescent="0.3">
      <c r="A394" s="2">
        <v>393</v>
      </c>
      <c r="B394" s="1" t="s">
        <v>697</v>
      </c>
      <c r="C394" t="s">
        <v>907</v>
      </c>
      <c r="D394">
        <v>2019</v>
      </c>
      <c r="E394" t="s">
        <v>921</v>
      </c>
      <c r="F394" t="s">
        <v>908</v>
      </c>
      <c r="G394" t="s">
        <v>915</v>
      </c>
      <c r="H394" t="s">
        <v>908</v>
      </c>
      <c r="I394" t="s">
        <v>917</v>
      </c>
      <c r="J394" s="2">
        <v>12.949153000000001</v>
      </c>
      <c r="K394" s="2">
        <v>16.318950000000001</v>
      </c>
      <c r="L394" s="2" t="str">
        <f t="shared" si="18"/>
        <v>15–20°C</v>
      </c>
      <c r="M394" s="3">
        <v>54.333300000000001</v>
      </c>
      <c r="N394" s="3" t="str">
        <f t="shared" si="19"/>
        <v>40–60%</v>
      </c>
      <c r="O394" s="2">
        <v>14.125543</v>
      </c>
      <c r="P394" s="2" t="str">
        <f t="shared" si="20"/>
        <v>10–15 km/h</v>
      </c>
      <c r="Q394" s="2">
        <v>775</v>
      </c>
      <c r="R394" s="2">
        <v>3248</v>
      </c>
      <c r="S394" s="2">
        <v>4023</v>
      </c>
    </row>
    <row r="395" spans="1:19" x14ac:dyDescent="0.3">
      <c r="A395" s="2">
        <v>394</v>
      </c>
      <c r="B395" s="1" t="s">
        <v>698</v>
      </c>
      <c r="C395" t="s">
        <v>907</v>
      </c>
      <c r="D395">
        <v>2019</v>
      </c>
      <c r="E395" t="s">
        <v>921</v>
      </c>
      <c r="F395" t="s">
        <v>908</v>
      </c>
      <c r="G395" t="s">
        <v>916</v>
      </c>
      <c r="H395" t="s">
        <v>908</v>
      </c>
      <c r="I395" t="s">
        <v>917</v>
      </c>
      <c r="J395" s="2">
        <v>11.5825</v>
      </c>
      <c r="K395" s="2">
        <v>13.636049999999999</v>
      </c>
      <c r="L395" s="2" t="str">
        <f t="shared" si="18"/>
        <v>10–15°C</v>
      </c>
      <c r="M395" s="3">
        <v>31.125</v>
      </c>
      <c r="N395" s="3" t="str">
        <f t="shared" si="19"/>
        <v>20–40%</v>
      </c>
      <c r="O395" s="2">
        <v>16.083349999999999</v>
      </c>
      <c r="P395" s="2" t="str">
        <f t="shared" si="20"/>
        <v>15–20 km/h</v>
      </c>
      <c r="Q395" s="2">
        <v>558</v>
      </c>
      <c r="R395" s="2">
        <v>2685</v>
      </c>
      <c r="S395" s="2">
        <v>3243</v>
      </c>
    </row>
    <row r="396" spans="1:19" x14ac:dyDescent="0.3">
      <c r="A396" s="2">
        <v>395</v>
      </c>
      <c r="B396" s="1" t="s">
        <v>699</v>
      </c>
      <c r="C396" t="s">
        <v>907</v>
      </c>
      <c r="D396">
        <v>2019</v>
      </c>
      <c r="E396" t="s">
        <v>921</v>
      </c>
      <c r="F396" t="s">
        <v>908</v>
      </c>
      <c r="G396" t="s">
        <v>910</v>
      </c>
      <c r="H396" t="s">
        <v>909</v>
      </c>
      <c r="I396" t="s">
        <v>917</v>
      </c>
      <c r="J396" s="2">
        <v>11.035847</v>
      </c>
      <c r="K396" s="2">
        <v>13.13125</v>
      </c>
      <c r="L396" s="2" t="str">
        <f t="shared" si="18"/>
        <v>10–15°C</v>
      </c>
      <c r="M396" s="3">
        <v>40.083300000000001</v>
      </c>
      <c r="N396" s="3" t="str">
        <f t="shared" si="19"/>
        <v>40–60%</v>
      </c>
      <c r="O396" s="2">
        <v>14.458064</v>
      </c>
      <c r="P396" s="2" t="str">
        <f t="shared" si="20"/>
        <v>10–15 km/h</v>
      </c>
      <c r="Q396" s="2">
        <v>126</v>
      </c>
      <c r="R396" s="2">
        <v>3498</v>
      </c>
      <c r="S396" s="2">
        <v>3624</v>
      </c>
    </row>
    <row r="397" spans="1:19" x14ac:dyDescent="0.3">
      <c r="A397" s="2">
        <v>396</v>
      </c>
      <c r="B397" s="1" t="s">
        <v>700</v>
      </c>
      <c r="C397" t="s">
        <v>907</v>
      </c>
      <c r="D397">
        <v>2019</v>
      </c>
      <c r="E397" t="s">
        <v>921</v>
      </c>
      <c r="F397" t="s">
        <v>908</v>
      </c>
      <c r="G397" t="s">
        <v>911</v>
      </c>
      <c r="H397" t="s">
        <v>909</v>
      </c>
      <c r="I397" t="s">
        <v>917</v>
      </c>
      <c r="J397" s="2">
        <v>15.99</v>
      </c>
      <c r="K397" s="2">
        <v>19.065850000000001</v>
      </c>
      <c r="L397" s="2" t="str">
        <f t="shared" si="18"/>
        <v>15–20°C</v>
      </c>
      <c r="M397" s="3">
        <v>41.666699999999999</v>
      </c>
      <c r="N397" s="3" t="str">
        <f t="shared" si="19"/>
        <v>40–60%</v>
      </c>
      <c r="O397" s="2">
        <v>17.541739</v>
      </c>
      <c r="P397" s="2" t="str">
        <f t="shared" si="20"/>
        <v>15–20 km/h</v>
      </c>
      <c r="Q397" s="2">
        <v>324</v>
      </c>
      <c r="R397" s="2">
        <v>4185</v>
      </c>
      <c r="S397" s="2">
        <v>4509</v>
      </c>
    </row>
    <row r="398" spans="1:19" x14ac:dyDescent="0.3">
      <c r="A398" s="2">
        <v>397</v>
      </c>
      <c r="B398" s="1">
        <v>43467</v>
      </c>
      <c r="C398" t="s">
        <v>907</v>
      </c>
      <c r="D398">
        <v>2019</v>
      </c>
      <c r="E398" t="s">
        <v>932</v>
      </c>
      <c r="F398" t="s">
        <v>908</v>
      </c>
      <c r="G398" t="s">
        <v>912</v>
      </c>
      <c r="H398" t="s">
        <v>909</v>
      </c>
      <c r="I398" t="s">
        <v>917</v>
      </c>
      <c r="J398" s="2">
        <v>19.235847</v>
      </c>
      <c r="K398" s="2">
        <v>23.326899999999998</v>
      </c>
      <c r="L398" s="2" t="str">
        <f t="shared" si="18"/>
        <v>20–25°C</v>
      </c>
      <c r="M398" s="3">
        <v>50.791699999999999</v>
      </c>
      <c r="N398" s="3" t="str">
        <f t="shared" si="19"/>
        <v>40–60%</v>
      </c>
      <c r="O398" s="2">
        <v>12.667489</v>
      </c>
      <c r="P398" s="2" t="str">
        <f t="shared" si="20"/>
        <v>10–15 km/h</v>
      </c>
      <c r="Q398" s="2">
        <v>304</v>
      </c>
      <c r="R398" s="2">
        <v>4275</v>
      </c>
      <c r="S398" s="2">
        <v>4579</v>
      </c>
    </row>
    <row r="399" spans="1:19" x14ac:dyDescent="0.3">
      <c r="A399" s="2">
        <v>398</v>
      </c>
      <c r="B399" s="1">
        <v>43498</v>
      </c>
      <c r="C399" t="s">
        <v>907</v>
      </c>
      <c r="D399">
        <v>2019</v>
      </c>
      <c r="E399" t="s">
        <v>932</v>
      </c>
      <c r="F399" t="s">
        <v>908</v>
      </c>
      <c r="G399" t="s">
        <v>913</v>
      </c>
      <c r="H399" t="s">
        <v>909</v>
      </c>
      <c r="I399" t="s">
        <v>918</v>
      </c>
      <c r="J399" s="2">
        <v>16.365846999999999</v>
      </c>
      <c r="K399" s="2">
        <v>19.948550000000001</v>
      </c>
      <c r="L399" s="2" t="str">
        <f t="shared" si="18"/>
        <v>15–20°C</v>
      </c>
      <c r="M399" s="3">
        <v>67.291700000000006</v>
      </c>
      <c r="N399" s="3" t="str">
        <f t="shared" si="19"/>
        <v>60–80%</v>
      </c>
      <c r="O399" s="2">
        <v>12.541529000000001</v>
      </c>
      <c r="P399" s="2" t="str">
        <f t="shared" si="20"/>
        <v>10–15 km/h</v>
      </c>
      <c r="Q399" s="2">
        <v>190</v>
      </c>
      <c r="R399" s="2">
        <v>3571</v>
      </c>
      <c r="S399" s="2">
        <v>3761</v>
      </c>
    </row>
    <row r="400" spans="1:19" x14ac:dyDescent="0.3">
      <c r="A400" s="2">
        <v>399</v>
      </c>
      <c r="B400" s="1">
        <v>43526</v>
      </c>
      <c r="C400" t="s">
        <v>907</v>
      </c>
      <c r="D400">
        <v>2019</v>
      </c>
      <c r="E400" t="s">
        <v>932</v>
      </c>
      <c r="F400" t="s">
        <v>908</v>
      </c>
      <c r="G400" t="s">
        <v>914</v>
      </c>
      <c r="H400" t="s">
        <v>909</v>
      </c>
      <c r="I400" t="s">
        <v>917</v>
      </c>
      <c r="J400" s="2">
        <v>12.846653</v>
      </c>
      <c r="K400" s="2">
        <v>15.4673</v>
      </c>
      <c r="L400" s="2" t="str">
        <f t="shared" si="18"/>
        <v>15–20°C</v>
      </c>
      <c r="M400" s="3">
        <v>52.666699999999999</v>
      </c>
      <c r="N400" s="3" t="str">
        <f t="shared" si="19"/>
        <v>40–60%</v>
      </c>
      <c r="O400" s="2">
        <v>11.959232</v>
      </c>
      <c r="P400" s="2" t="str">
        <f t="shared" si="20"/>
        <v>10–15 km/h</v>
      </c>
      <c r="Q400" s="2">
        <v>310</v>
      </c>
      <c r="R400" s="2">
        <v>3841</v>
      </c>
      <c r="S400" s="2">
        <v>4151</v>
      </c>
    </row>
    <row r="401" spans="1:19" x14ac:dyDescent="0.3">
      <c r="A401" s="2">
        <v>400</v>
      </c>
      <c r="B401" s="1">
        <v>43557</v>
      </c>
      <c r="C401" t="s">
        <v>907</v>
      </c>
      <c r="D401">
        <v>2019</v>
      </c>
      <c r="E401" t="s">
        <v>932</v>
      </c>
      <c r="F401" t="s">
        <v>908</v>
      </c>
      <c r="G401" t="s">
        <v>915</v>
      </c>
      <c r="H401" t="s">
        <v>908</v>
      </c>
      <c r="I401" t="s">
        <v>918</v>
      </c>
      <c r="J401" s="2">
        <v>10.830847</v>
      </c>
      <c r="K401" s="2">
        <v>13.63625</v>
      </c>
      <c r="L401" s="2" t="str">
        <f t="shared" si="18"/>
        <v>10–15°C</v>
      </c>
      <c r="M401" s="3">
        <v>77.958299999999994</v>
      </c>
      <c r="N401" s="3" t="str">
        <f t="shared" si="19"/>
        <v>60–80%</v>
      </c>
      <c r="O401" s="2">
        <v>8.1670320000000007</v>
      </c>
      <c r="P401" s="2" t="str">
        <f t="shared" si="20"/>
        <v>5–10 km/h</v>
      </c>
      <c r="Q401" s="2">
        <v>384</v>
      </c>
      <c r="R401" s="2">
        <v>2448</v>
      </c>
      <c r="S401" s="2">
        <v>2832</v>
      </c>
    </row>
    <row r="402" spans="1:19" x14ac:dyDescent="0.3">
      <c r="A402" s="2">
        <v>401</v>
      </c>
      <c r="B402" s="1">
        <v>43587</v>
      </c>
      <c r="C402" t="s">
        <v>907</v>
      </c>
      <c r="D402">
        <v>2019</v>
      </c>
      <c r="E402" t="s">
        <v>932</v>
      </c>
      <c r="F402" t="s">
        <v>908</v>
      </c>
      <c r="G402" t="s">
        <v>916</v>
      </c>
      <c r="H402" t="s">
        <v>908</v>
      </c>
      <c r="I402" t="s">
        <v>918</v>
      </c>
      <c r="J402" s="2">
        <v>10.899153</v>
      </c>
      <c r="K402" s="2">
        <v>13.226050000000001</v>
      </c>
      <c r="L402" s="2" t="str">
        <f t="shared" si="18"/>
        <v>10–15°C</v>
      </c>
      <c r="M402" s="3">
        <v>68.791700000000006</v>
      </c>
      <c r="N402" s="3" t="str">
        <f t="shared" si="19"/>
        <v>60–80%</v>
      </c>
      <c r="O402" s="2">
        <v>11.791732</v>
      </c>
      <c r="P402" s="2" t="str">
        <f t="shared" si="20"/>
        <v>10–15 km/h</v>
      </c>
      <c r="Q402" s="2">
        <v>318</v>
      </c>
      <c r="R402" s="2">
        <v>2629</v>
      </c>
      <c r="S402" s="2">
        <v>2947</v>
      </c>
    </row>
    <row r="403" spans="1:19" x14ac:dyDescent="0.3">
      <c r="A403" s="2">
        <v>402</v>
      </c>
      <c r="B403" s="1">
        <v>43618</v>
      </c>
      <c r="C403" t="s">
        <v>907</v>
      </c>
      <c r="D403">
        <v>2019</v>
      </c>
      <c r="E403" t="s">
        <v>932</v>
      </c>
      <c r="F403" t="s">
        <v>908</v>
      </c>
      <c r="G403" t="s">
        <v>910</v>
      </c>
      <c r="H403" t="s">
        <v>909</v>
      </c>
      <c r="I403" t="s">
        <v>917</v>
      </c>
      <c r="J403" s="2">
        <v>11.586969</v>
      </c>
      <c r="K403" s="2">
        <v>14.821300000000001</v>
      </c>
      <c r="L403" s="2" t="str">
        <f t="shared" si="18"/>
        <v>10–15°C</v>
      </c>
      <c r="M403" s="3">
        <v>62.217399999999998</v>
      </c>
      <c r="N403" s="3" t="str">
        <f t="shared" si="19"/>
        <v>60–80%</v>
      </c>
      <c r="O403" s="2">
        <v>10.304600000000001</v>
      </c>
      <c r="P403" s="2" t="str">
        <f t="shared" si="20"/>
        <v>10–15 km/h</v>
      </c>
      <c r="Q403" s="2">
        <v>206</v>
      </c>
      <c r="R403" s="2">
        <v>3578</v>
      </c>
      <c r="S403" s="2">
        <v>3784</v>
      </c>
    </row>
    <row r="404" spans="1:19" x14ac:dyDescent="0.3">
      <c r="A404" s="2">
        <v>403</v>
      </c>
      <c r="B404" s="1">
        <v>43648</v>
      </c>
      <c r="C404" t="s">
        <v>907</v>
      </c>
      <c r="D404">
        <v>2019</v>
      </c>
      <c r="E404" t="s">
        <v>932</v>
      </c>
      <c r="F404" t="s">
        <v>908</v>
      </c>
      <c r="G404" t="s">
        <v>911</v>
      </c>
      <c r="H404" t="s">
        <v>909</v>
      </c>
      <c r="I404" t="s">
        <v>917</v>
      </c>
      <c r="J404" s="2">
        <v>14.520847</v>
      </c>
      <c r="K404" s="2">
        <v>18.055199999999999</v>
      </c>
      <c r="L404" s="2" t="str">
        <f t="shared" si="18"/>
        <v>15–20°C</v>
      </c>
      <c r="M404" s="3">
        <v>49.625</v>
      </c>
      <c r="N404" s="3" t="str">
        <f t="shared" si="19"/>
        <v>40–60%</v>
      </c>
      <c r="O404" s="2">
        <v>9.8743929999999995</v>
      </c>
      <c r="P404" s="2" t="str">
        <f t="shared" si="20"/>
        <v>5–10 km/h</v>
      </c>
      <c r="Q404" s="2">
        <v>199</v>
      </c>
      <c r="R404" s="2">
        <v>4176</v>
      </c>
      <c r="S404" s="2">
        <v>4375</v>
      </c>
    </row>
    <row r="405" spans="1:19" x14ac:dyDescent="0.3">
      <c r="A405" s="2">
        <v>404</v>
      </c>
      <c r="B405" s="1">
        <v>43679</v>
      </c>
      <c r="C405" t="s">
        <v>907</v>
      </c>
      <c r="D405">
        <v>2019</v>
      </c>
      <c r="E405" t="s">
        <v>932</v>
      </c>
      <c r="F405" t="s">
        <v>908</v>
      </c>
      <c r="G405" t="s">
        <v>912</v>
      </c>
      <c r="H405" t="s">
        <v>909</v>
      </c>
      <c r="I405" t="s">
        <v>918</v>
      </c>
      <c r="J405" s="2">
        <v>10.523346999999999</v>
      </c>
      <c r="K405" s="2">
        <v>13.32105</v>
      </c>
      <c r="L405" s="2" t="str">
        <f t="shared" si="18"/>
        <v>10–15°C</v>
      </c>
      <c r="M405" s="3">
        <v>72.291700000000006</v>
      </c>
      <c r="N405" s="3" t="str">
        <f t="shared" si="19"/>
        <v>60–80%</v>
      </c>
      <c r="O405" s="2">
        <v>8.9593070000000008</v>
      </c>
      <c r="P405" s="2" t="str">
        <f t="shared" si="20"/>
        <v>5–10 km/h</v>
      </c>
      <c r="Q405" s="2">
        <v>109</v>
      </c>
      <c r="R405" s="2">
        <v>2693</v>
      </c>
      <c r="S405" s="2">
        <v>2802</v>
      </c>
    </row>
    <row r="406" spans="1:19" x14ac:dyDescent="0.3">
      <c r="A406" s="2">
        <v>405</v>
      </c>
      <c r="B406" s="1">
        <v>43710</v>
      </c>
      <c r="C406" t="s">
        <v>907</v>
      </c>
      <c r="D406">
        <v>2019</v>
      </c>
      <c r="E406" t="s">
        <v>932</v>
      </c>
      <c r="F406" t="s">
        <v>908</v>
      </c>
      <c r="G406" t="s">
        <v>913</v>
      </c>
      <c r="H406" t="s">
        <v>909</v>
      </c>
      <c r="I406" t="s">
        <v>917</v>
      </c>
      <c r="J406" s="2">
        <v>10.865</v>
      </c>
      <c r="K406" s="2">
        <v>13.099399999999999</v>
      </c>
      <c r="L406" s="2" t="str">
        <f t="shared" si="18"/>
        <v>10–15°C</v>
      </c>
      <c r="M406" s="3">
        <v>56.208300000000001</v>
      </c>
      <c r="N406" s="3" t="str">
        <f t="shared" si="19"/>
        <v>40–60%</v>
      </c>
      <c r="O406" s="2">
        <v>13.000479</v>
      </c>
      <c r="P406" s="2" t="str">
        <f t="shared" si="20"/>
        <v>10–15 km/h</v>
      </c>
      <c r="Q406" s="2">
        <v>163</v>
      </c>
      <c r="R406" s="2">
        <v>3667</v>
      </c>
      <c r="S406" s="2">
        <v>3830</v>
      </c>
    </row>
    <row r="407" spans="1:19" x14ac:dyDescent="0.3">
      <c r="A407" s="2">
        <v>406</v>
      </c>
      <c r="B407" s="1">
        <v>43740</v>
      </c>
      <c r="C407" t="s">
        <v>907</v>
      </c>
      <c r="D407">
        <v>2019</v>
      </c>
      <c r="E407" t="s">
        <v>932</v>
      </c>
      <c r="F407" t="s">
        <v>908</v>
      </c>
      <c r="G407" t="s">
        <v>914</v>
      </c>
      <c r="H407" t="s">
        <v>909</v>
      </c>
      <c r="I407" t="s">
        <v>918</v>
      </c>
      <c r="J407" s="2">
        <v>11.514153</v>
      </c>
      <c r="K407" s="2">
        <v>14.677899999999999</v>
      </c>
      <c r="L407" s="2" t="str">
        <f t="shared" si="18"/>
        <v>10–15°C</v>
      </c>
      <c r="M407" s="3">
        <v>54</v>
      </c>
      <c r="N407" s="3" t="str">
        <f t="shared" si="19"/>
        <v>40–60%</v>
      </c>
      <c r="O407" s="2">
        <v>7.8342429999999998</v>
      </c>
      <c r="P407" s="2" t="str">
        <f t="shared" si="20"/>
        <v>5–10 km/h</v>
      </c>
      <c r="Q407" s="2">
        <v>227</v>
      </c>
      <c r="R407" s="2">
        <v>3604</v>
      </c>
      <c r="S407" s="2">
        <v>3831</v>
      </c>
    </row>
    <row r="408" spans="1:19" x14ac:dyDescent="0.3">
      <c r="A408" s="2">
        <v>407</v>
      </c>
      <c r="B408" s="1">
        <v>43771</v>
      </c>
      <c r="C408" t="s">
        <v>907</v>
      </c>
      <c r="D408">
        <v>2019</v>
      </c>
      <c r="E408" t="s">
        <v>932</v>
      </c>
      <c r="F408" t="s">
        <v>908</v>
      </c>
      <c r="G408" t="s">
        <v>915</v>
      </c>
      <c r="H408" t="s">
        <v>908</v>
      </c>
      <c r="I408" t="s">
        <v>919</v>
      </c>
      <c r="J408" s="2">
        <v>9.1908469999999998</v>
      </c>
      <c r="K408" s="2">
        <v>10.54335</v>
      </c>
      <c r="L408" s="2" t="str">
        <f t="shared" si="18"/>
        <v>10–15°C</v>
      </c>
      <c r="M408" s="3">
        <v>73.125</v>
      </c>
      <c r="N408" s="3" t="str">
        <f t="shared" si="19"/>
        <v>60–80%</v>
      </c>
      <c r="O408" s="2">
        <v>19.416332000000001</v>
      </c>
      <c r="P408" s="2" t="str">
        <f t="shared" si="20"/>
        <v>15–20 km/h</v>
      </c>
      <c r="Q408" s="2">
        <v>192</v>
      </c>
      <c r="R408" s="2">
        <v>1977</v>
      </c>
      <c r="S408" s="2">
        <v>2169</v>
      </c>
    </row>
    <row r="409" spans="1:19" x14ac:dyDescent="0.3">
      <c r="A409" s="2">
        <v>408</v>
      </c>
      <c r="B409" s="1">
        <v>43801</v>
      </c>
      <c r="C409" t="s">
        <v>907</v>
      </c>
      <c r="D409">
        <v>2019</v>
      </c>
      <c r="E409" t="s">
        <v>932</v>
      </c>
      <c r="F409" t="s">
        <v>908</v>
      </c>
      <c r="G409" t="s">
        <v>916</v>
      </c>
      <c r="H409" t="s">
        <v>908</v>
      </c>
      <c r="I409" t="s">
        <v>917</v>
      </c>
      <c r="J409" s="2">
        <v>5.2275</v>
      </c>
      <c r="K409" s="2">
        <v>5.0829000000000004</v>
      </c>
      <c r="L409" s="2" t="str">
        <f t="shared" si="18"/>
        <v>5–10°C</v>
      </c>
      <c r="M409" s="3">
        <v>46.458300000000001</v>
      </c>
      <c r="N409" s="3" t="str">
        <f t="shared" si="19"/>
        <v>40–60%</v>
      </c>
      <c r="O409" s="2">
        <v>27.417204000000002</v>
      </c>
      <c r="P409" s="2" t="str">
        <f t="shared" si="20"/>
        <v>25–30 km/h</v>
      </c>
      <c r="Q409" s="2">
        <v>73</v>
      </c>
      <c r="R409" s="2">
        <v>1456</v>
      </c>
      <c r="S409" s="2">
        <v>1529</v>
      </c>
    </row>
    <row r="410" spans="1:19" x14ac:dyDescent="0.3">
      <c r="A410" s="2">
        <v>409</v>
      </c>
      <c r="B410" s="1" t="s">
        <v>701</v>
      </c>
      <c r="C410" t="s">
        <v>907</v>
      </c>
      <c r="D410">
        <v>2019</v>
      </c>
      <c r="E410" t="s">
        <v>932</v>
      </c>
      <c r="F410" t="s">
        <v>908</v>
      </c>
      <c r="G410" t="s">
        <v>910</v>
      </c>
      <c r="H410" t="s">
        <v>909</v>
      </c>
      <c r="I410" t="s">
        <v>917</v>
      </c>
      <c r="J410" s="2">
        <v>9.1225000000000005</v>
      </c>
      <c r="K410" s="2">
        <v>11.39565</v>
      </c>
      <c r="L410" s="2" t="str">
        <f t="shared" si="18"/>
        <v>10–15°C</v>
      </c>
      <c r="M410" s="3">
        <v>41.125</v>
      </c>
      <c r="N410" s="3" t="str">
        <f t="shared" si="19"/>
        <v>40–60%</v>
      </c>
      <c r="O410" s="2">
        <v>11.207960999999999</v>
      </c>
      <c r="P410" s="2" t="str">
        <f t="shared" si="20"/>
        <v>10–15 km/h</v>
      </c>
      <c r="Q410" s="2">
        <v>94</v>
      </c>
      <c r="R410" s="2">
        <v>3328</v>
      </c>
      <c r="S410" s="2">
        <v>3422</v>
      </c>
    </row>
    <row r="411" spans="1:19" x14ac:dyDescent="0.3">
      <c r="A411" s="2">
        <v>410</v>
      </c>
      <c r="B411" s="1" t="s">
        <v>702</v>
      </c>
      <c r="C411" t="s">
        <v>907</v>
      </c>
      <c r="D411">
        <v>2019</v>
      </c>
      <c r="E411" t="s">
        <v>932</v>
      </c>
      <c r="F411" t="s">
        <v>908</v>
      </c>
      <c r="G411" t="s">
        <v>911</v>
      </c>
      <c r="H411" t="s">
        <v>909</v>
      </c>
      <c r="I411" t="s">
        <v>918</v>
      </c>
      <c r="J411" s="2">
        <v>13.085846999999999</v>
      </c>
      <c r="K411" s="2">
        <v>16.697299999999998</v>
      </c>
      <c r="L411" s="2" t="str">
        <f t="shared" si="18"/>
        <v>15–20°C</v>
      </c>
      <c r="M411" s="3">
        <v>50.875</v>
      </c>
      <c r="N411" s="3" t="str">
        <f t="shared" si="19"/>
        <v>40–60%</v>
      </c>
      <c r="O411" s="2">
        <v>9.4589929999999995</v>
      </c>
      <c r="P411" s="2" t="str">
        <f t="shared" si="20"/>
        <v>5–10 km/h</v>
      </c>
      <c r="Q411" s="2">
        <v>135</v>
      </c>
      <c r="R411" s="2">
        <v>3787</v>
      </c>
      <c r="S411" s="2">
        <v>3922</v>
      </c>
    </row>
    <row r="412" spans="1:19" x14ac:dyDescent="0.3">
      <c r="A412" s="2">
        <v>411</v>
      </c>
      <c r="B412" s="1" t="s">
        <v>703</v>
      </c>
      <c r="C412" t="s">
        <v>907</v>
      </c>
      <c r="D412">
        <v>2019</v>
      </c>
      <c r="E412" t="s">
        <v>932</v>
      </c>
      <c r="F412" t="s">
        <v>908</v>
      </c>
      <c r="G412" t="s">
        <v>912</v>
      </c>
      <c r="H412" t="s">
        <v>909</v>
      </c>
      <c r="I412" t="s">
        <v>917</v>
      </c>
      <c r="J412" s="2">
        <v>14.281653</v>
      </c>
      <c r="K412" s="2">
        <v>17.58145</v>
      </c>
      <c r="L412" s="2" t="str">
        <f t="shared" si="18"/>
        <v>15–20°C</v>
      </c>
      <c r="M412" s="3">
        <v>53.125</v>
      </c>
      <c r="N412" s="3" t="str">
        <f t="shared" si="19"/>
        <v>40–60%</v>
      </c>
      <c r="O412" s="2">
        <v>12.167199999999999</v>
      </c>
      <c r="P412" s="2" t="str">
        <f t="shared" si="20"/>
        <v>10–15 km/h</v>
      </c>
      <c r="Q412" s="2">
        <v>141</v>
      </c>
      <c r="R412" s="2">
        <v>4028</v>
      </c>
      <c r="S412" s="2">
        <v>4169</v>
      </c>
    </row>
    <row r="413" spans="1:19" x14ac:dyDescent="0.3">
      <c r="A413" s="2">
        <v>412</v>
      </c>
      <c r="B413" s="1" t="s">
        <v>704</v>
      </c>
      <c r="C413" t="s">
        <v>907</v>
      </c>
      <c r="D413">
        <v>2019</v>
      </c>
      <c r="E413" t="s">
        <v>932</v>
      </c>
      <c r="F413" t="s">
        <v>908</v>
      </c>
      <c r="G413" t="s">
        <v>913</v>
      </c>
      <c r="H413" t="s">
        <v>909</v>
      </c>
      <c r="I413" t="s">
        <v>918</v>
      </c>
      <c r="J413" s="2">
        <v>12.983347</v>
      </c>
      <c r="K413" s="2">
        <v>16.508099999999999</v>
      </c>
      <c r="L413" s="2" t="str">
        <f t="shared" si="18"/>
        <v>15–20°C</v>
      </c>
      <c r="M413" s="3">
        <v>75.291700000000006</v>
      </c>
      <c r="N413" s="3" t="str">
        <f t="shared" si="19"/>
        <v>60–80%</v>
      </c>
      <c r="O413" s="2">
        <v>6.1254749999999998</v>
      </c>
      <c r="P413" s="2" t="str">
        <f t="shared" si="20"/>
        <v>5–10 km/h</v>
      </c>
      <c r="Q413" s="2">
        <v>74</v>
      </c>
      <c r="R413" s="2">
        <v>2931</v>
      </c>
      <c r="S413" s="2">
        <v>3005</v>
      </c>
    </row>
    <row r="414" spans="1:19" x14ac:dyDescent="0.3">
      <c r="A414" s="2">
        <v>413</v>
      </c>
      <c r="B414" s="1" t="s">
        <v>705</v>
      </c>
      <c r="C414" t="s">
        <v>907</v>
      </c>
      <c r="D414">
        <v>2019</v>
      </c>
      <c r="E414" t="s">
        <v>932</v>
      </c>
      <c r="F414" t="s">
        <v>908</v>
      </c>
      <c r="G414" t="s">
        <v>914</v>
      </c>
      <c r="H414" t="s">
        <v>909</v>
      </c>
      <c r="I414" t="s">
        <v>917</v>
      </c>
      <c r="J414" s="2">
        <v>14.076653</v>
      </c>
      <c r="K414" s="2">
        <v>17.58145</v>
      </c>
      <c r="L414" s="2" t="str">
        <f t="shared" si="18"/>
        <v>15–20°C</v>
      </c>
      <c r="M414" s="3">
        <v>63.458300000000001</v>
      </c>
      <c r="N414" s="3" t="str">
        <f t="shared" si="19"/>
        <v>60–80%</v>
      </c>
      <c r="O414" s="2">
        <v>13.791682</v>
      </c>
      <c r="P414" s="2" t="str">
        <f t="shared" si="20"/>
        <v>10–15 km/h</v>
      </c>
      <c r="Q414" s="2">
        <v>349</v>
      </c>
      <c r="R414" s="2">
        <v>3805</v>
      </c>
      <c r="S414" s="2">
        <v>4154</v>
      </c>
    </row>
    <row r="415" spans="1:19" x14ac:dyDescent="0.3">
      <c r="A415" s="2">
        <v>414</v>
      </c>
      <c r="B415" s="1" t="s">
        <v>706</v>
      </c>
      <c r="C415" t="s">
        <v>907</v>
      </c>
      <c r="D415">
        <v>2019</v>
      </c>
      <c r="E415" t="s">
        <v>932</v>
      </c>
      <c r="F415" t="s">
        <v>908</v>
      </c>
      <c r="G415" t="s">
        <v>915</v>
      </c>
      <c r="H415" t="s">
        <v>908</v>
      </c>
      <c r="I415" t="s">
        <v>917</v>
      </c>
      <c r="J415" s="2">
        <v>14.213347000000001</v>
      </c>
      <c r="K415" s="2">
        <v>17.771249999999998</v>
      </c>
      <c r="L415" s="2" t="str">
        <f t="shared" si="18"/>
        <v>15–20°C</v>
      </c>
      <c r="M415" s="3">
        <v>53.458300000000001</v>
      </c>
      <c r="N415" s="3" t="str">
        <f t="shared" si="19"/>
        <v>40–60%</v>
      </c>
      <c r="O415" s="2">
        <v>12.792242999999999</v>
      </c>
      <c r="P415" s="2" t="str">
        <f t="shared" si="20"/>
        <v>10–15 km/h</v>
      </c>
      <c r="Q415" s="2">
        <v>1435</v>
      </c>
      <c r="R415" s="2">
        <v>2883</v>
      </c>
      <c r="S415" s="2">
        <v>4318</v>
      </c>
    </row>
    <row r="416" spans="1:19" x14ac:dyDescent="0.3">
      <c r="A416" s="2">
        <v>415</v>
      </c>
      <c r="B416" s="1" t="s">
        <v>707</v>
      </c>
      <c r="C416" t="s">
        <v>907</v>
      </c>
      <c r="D416">
        <v>2019</v>
      </c>
      <c r="E416" t="s">
        <v>932</v>
      </c>
      <c r="F416" t="s">
        <v>908</v>
      </c>
      <c r="G416" t="s">
        <v>916</v>
      </c>
      <c r="H416" t="s">
        <v>908</v>
      </c>
      <c r="I416" t="s">
        <v>918</v>
      </c>
      <c r="J416" s="2">
        <v>11.48</v>
      </c>
      <c r="K416" s="2">
        <v>13.289400000000001</v>
      </c>
      <c r="L416" s="2" t="str">
        <f t="shared" si="18"/>
        <v>10–15°C</v>
      </c>
      <c r="M416" s="3">
        <v>51.583300000000001</v>
      </c>
      <c r="N416" s="3" t="str">
        <f t="shared" si="19"/>
        <v>40–60%</v>
      </c>
      <c r="O416" s="2">
        <v>16.958504000000001</v>
      </c>
      <c r="P416" s="2" t="str">
        <f t="shared" si="20"/>
        <v>15–20 km/h</v>
      </c>
      <c r="Q416" s="2">
        <v>618</v>
      </c>
      <c r="R416" s="2">
        <v>2071</v>
      </c>
      <c r="S416" s="2">
        <v>2689</v>
      </c>
    </row>
    <row r="417" spans="1:19" x14ac:dyDescent="0.3">
      <c r="A417" s="2">
        <v>416</v>
      </c>
      <c r="B417" s="1" t="s">
        <v>708</v>
      </c>
      <c r="C417" t="s">
        <v>907</v>
      </c>
      <c r="D417">
        <v>2019</v>
      </c>
      <c r="E417" t="s">
        <v>932</v>
      </c>
      <c r="F417" t="s">
        <v>909</v>
      </c>
      <c r="G417" t="s">
        <v>910</v>
      </c>
      <c r="H417" t="s">
        <v>908</v>
      </c>
      <c r="I417" t="s">
        <v>917</v>
      </c>
      <c r="J417" s="2">
        <v>11.48</v>
      </c>
      <c r="K417" s="2">
        <v>13.669549999999999</v>
      </c>
      <c r="L417" s="2" t="str">
        <f t="shared" si="18"/>
        <v>10–15°C</v>
      </c>
      <c r="M417" s="3">
        <v>50.782600000000002</v>
      </c>
      <c r="N417" s="3" t="str">
        <f t="shared" si="19"/>
        <v>40–60%</v>
      </c>
      <c r="O417" s="2">
        <v>15.348561</v>
      </c>
      <c r="P417" s="2" t="str">
        <f t="shared" si="20"/>
        <v>15–20 km/h</v>
      </c>
      <c r="Q417" s="2">
        <v>502</v>
      </c>
      <c r="R417" s="2">
        <v>2627</v>
      </c>
      <c r="S417" s="2">
        <v>3129</v>
      </c>
    </row>
    <row r="418" spans="1:19" x14ac:dyDescent="0.3">
      <c r="A418" s="2">
        <v>417</v>
      </c>
      <c r="B418" s="1" t="s">
        <v>709</v>
      </c>
      <c r="C418" t="s">
        <v>907</v>
      </c>
      <c r="D418">
        <v>2019</v>
      </c>
      <c r="E418" t="s">
        <v>932</v>
      </c>
      <c r="F418" t="s">
        <v>908</v>
      </c>
      <c r="G418" t="s">
        <v>911</v>
      </c>
      <c r="H418" t="s">
        <v>909</v>
      </c>
      <c r="I418" t="s">
        <v>917</v>
      </c>
      <c r="J418" s="2">
        <v>11.800865999999999</v>
      </c>
      <c r="K418" s="2">
        <v>14.755649999999999</v>
      </c>
      <c r="L418" s="2" t="str">
        <f t="shared" si="18"/>
        <v>10–15°C</v>
      </c>
      <c r="M418" s="3">
        <v>59.434800000000003</v>
      </c>
      <c r="N418" s="3" t="str">
        <f t="shared" si="19"/>
        <v>40–60%</v>
      </c>
      <c r="O418" s="2">
        <v>13.783039</v>
      </c>
      <c r="P418" s="2" t="str">
        <f t="shared" si="20"/>
        <v>10–15 km/h</v>
      </c>
      <c r="Q418" s="2">
        <v>163</v>
      </c>
      <c r="R418" s="2">
        <v>3614</v>
      </c>
      <c r="S418" s="2">
        <v>3777</v>
      </c>
    </row>
    <row r="419" spans="1:19" x14ac:dyDescent="0.3">
      <c r="A419" s="2">
        <v>418</v>
      </c>
      <c r="B419" s="1" t="s">
        <v>710</v>
      </c>
      <c r="C419" t="s">
        <v>907</v>
      </c>
      <c r="D419">
        <v>2019</v>
      </c>
      <c r="E419" t="s">
        <v>932</v>
      </c>
      <c r="F419" t="s">
        <v>908</v>
      </c>
      <c r="G419" t="s">
        <v>912</v>
      </c>
      <c r="H419" t="s">
        <v>909</v>
      </c>
      <c r="I419" t="s">
        <v>917</v>
      </c>
      <c r="J419" s="2">
        <v>16.229153</v>
      </c>
      <c r="K419" s="2">
        <v>19.63335</v>
      </c>
      <c r="L419" s="2" t="str">
        <f t="shared" si="18"/>
        <v>15–20°C</v>
      </c>
      <c r="M419" s="3">
        <v>56.791699999999999</v>
      </c>
      <c r="N419" s="3" t="str">
        <f t="shared" si="19"/>
        <v>40–60%</v>
      </c>
      <c r="O419" s="2">
        <v>15.709557</v>
      </c>
      <c r="P419" s="2" t="str">
        <f t="shared" si="20"/>
        <v>15–20 km/h</v>
      </c>
      <c r="Q419" s="2">
        <v>394</v>
      </c>
      <c r="R419" s="2">
        <v>4379</v>
      </c>
      <c r="S419" s="2">
        <v>4773</v>
      </c>
    </row>
    <row r="420" spans="1:19" x14ac:dyDescent="0.3">
      <c r="A420" s="2">
        <v>419</v>
      </c>
      <c r="B420" s="1" t="s">
        <v>711</v>
      </c>
      <c r="C420" t="s">
        <v>907</v>
      </c>
      <c r="D420">
        <v>2019</v>
      </c>
      <c r="E420" t="s">
        <v>932</v>
      </c>
      <c r="F420" t="s">
        <v>908</v>
      </c>
      <c r="G420" t="s">
        <v>913</v>
      </c>
      <c r="H420" t="s">
        <v>909</v>
      </c>
      <c r="I420" t="s">
        <v>917</v>
      </c>
      <c r="J420" s="2">
        <v>18.620847000000001</v>
      </c>
      <c r="K420" s="2">
        <v>22.222300000000001</v>
      </c>
      <c r="L420" s="2" t="str">
        <f t="shared" si="18"/>
        <v>20–25°C</v>
      </c>
      <c r="M420" s="3">
        <v>55.458300000000001</v>
      </c>
      <c r="N420" s="3" t="str">
        <f t="shared" si="19"/>
        <v>40–60%</v>
      </c>
      <c r="O420" s="2">
        <v>12.791171</v>
      </c>
      <c r="P420" s="2" t="str">
        <f t="shared" si="20"/>
        <v>10–15 km/h</v>
      </c>
      <c r="Q420" s="2">
        <v>516</v>
      </c>
      <c r="R420" s="2">
        <v>4546</v>
      </c>
      <c r="S420" s="2">
        <v>5062</v>
      </c>
    </row>
    <row r="421" spans="1:19" x14ac:dyDescent="0.3">
      <c r="A421" s="2">
        <v>420</v>
      </c>
      <c r="B421" s="1" t="s">
        <v>712</v>
      </c>
      <c r="C421" t="s">
        <v>907</v>
      </c>
      <c r="D421">
        <v>2019</v>
      </c>
      <c r="E421" t="s">
        <v>932</v>
      </c>
      <c r="F421" t="s">
        <v>908</v>
      </c>
      <c r="G421" t="s">
        <v>914</v>
      </c>
      <c r="H421" t="s">
        <v>909</v>
      </c>
      <c r="I421" t="s">
        <v>918</v>
      </c>
      <c r="J421" s="2">
        <v>16.7075</v>
      </c>
      <c r="K421" s="2">
        <v>20.548549999999999</v>
      </c>
      <c r="L421" s="2" t="str">
        <f t="shared" si="18"/>
        <v>20–25°C</v>
      </c>
      <c r="M421" s="3">
        <v>73.75</v>
      </c>
      <c r="N421" s="3" t="str">
        <f t="shared" si="19"/>
        <v>60–80%</v>
      </c>
      <c r="O421" s="2">
        <v>15.916988999999999</v>
      </c>
      <c r="P421" s="2" t="str">
        <f t="shared" si="20"/>
        <v>15–20 km/h</v>
      </c>
      <c r="Q421" s="2">
        <v>246</v>
      </c>
      <c r="R421" s="2">
        <v>3241</v>
      </c>
      <c r="S421" s="2">
        <v>3487</v>
      </c>
    </row>
    <row r="422" spans="1:19" x14ac:dyDescent="0.3">
      <c r="A422" s="2">
        <v>421</v>
      </c>
      <c r="B422" s="1" t="s">
        <v>713</v>
      </c>
      <c r="C422" t="s">
        <v>907</v>
      </c>
      <c r="D422">
        <v>2019</v>
      </c>
      <c r="E422" t="s">
        <v>932</v>
      </c>
      <c r="F422" t="s">
        <v>908</v>
      </c>
      <c r="G422" t="s">
        <v>915</v>
      </c>
      <c r="H422" t="s">
        <v>908</v>
      </c>
      <c r="I422" t="s">
        <v>917</v>
      </c>
      <c r="J422" s="2">
        <v>11.924153</v>
      </c>
      <c r="K422" s="2">
        <v>12.78375</v>
      </c>
      <c r="L422" s="2" t="str">
        <f t="shared" si="18"/>
        <v>10–15°C</v>
      </c>
      <c r="M422" s="3">
        <v>39.583300000000001</v>
      </c>
      <c r="N422" s="3" t="str">
        <f t="shared" si="19"/>
        <v>20–40%</v>
      </c>
      <c r="O422" s="2">
        <v>28.250014</v>
      </c>
      <c r="P422" s="2" t="str">
        <f t="shared" si="20"/>
        <v>25–30 km/h</v>
      </c>
      <c r="Q422" s="2">
        <v>317</v>
      </c>
      <c r="R422" s="2">
        <v>2415</v>
      </c>
      <c r="S422" s="2">
        <v>2732</v>
      </c>
    </row>
    <row r="423" spans="1:19" x14ac:dyDescent="0.3">
      <c r="A423" s="2">
        <v>422</v>
      </c>
      <c r="B423" s="1" t="s">
        <v>714</v>
      </c>
      <c r="C423" t="s">
        <v>907</v>
      </c>
      <c r="D423">
        <v>2019</v>
      </c>
      <c r="E423" t="s">
        <v>932</v>
      </c>
      <c r="F423" t="s">
        <v>908</v>
      </c>
      <c r="G423" t="s">
        <v>916</v>
      </c>
      <c r="H423" t="s">
        <v>908</v>
      </c>
      <c r="I423" t="s">
        <v>917</v>
      </c>
      <c r="J423" s="2">
        <v>11.445847000000001</v>
      </c>
      <c r="K423" s="2">
        <v>13.4154</v>
      </c>
      <c r="L423" s="2" t="str">
        <f t="shared" si="18"/>
        <v>10–15°C</v>
      </c>
      <c r="M423" s="3">
        <v>41</v>
      </c>
      <c r="N423" s="3" t="str">
        <f t="shared" si="19"/>
        <v>40–60%</v>
      </c>
      <c r="O423" s="2">
        <v>13.750343000000001</v>
      </c>
      <c r="P423" s="2" t="str">
        <f t="shared" si="20"/>
        <v>10–15 km/h</v>
      </c>
      <c r="Q423" s="2">
        <v>515</v>
      </c>
      <c r="R423" s="2">
        <v>2874</v>
      </c>
      <c r="S423" s="2">
        <v>3389</v>
      </c>
    </row>
    <row r="424" spans="1:19" x14ac:dyDescent="0.3">
      <c r="A424" s="2">
        <v>423</v>
      </c>
      <c r="B424" s="1" t="s">
        <v>715</v>
      </c>
      <c r="C424" t="s">
        <v>907</v>
      </c>
      <c r="D424">
        <v>2019</v>
      </c>
      <c r="E424" t="s">
        <v>932</v>
      </c>
      <c r="F424" t="s">
        <v>908</v>
      </c>
      <c r="G424" t="s">
        <v>910</v>
      </c>
      <c r="H424" t="s">
        <v>909</v>
      </c>
      <c r="I424" t="s">
        <v>917</v>
      </c>
      <c r="J424" s="2">
        <v>15.033346999999999</v>
      </c>
      <c r="K424" s="2">
        <v>17.8977</v>
      </c>
      <c r="L424" s="2" t="str">
        <f t="shared" si="18"/>
        <v>15–20°C</v>
      </c>
      <c r="M424" s="3">
        <v>49.083300000000001</v>
      </c>
      <c r="N424" s="3" t="str">
        <f t="shared" si="19"/>
        <v>40–60%</v>
      </c>
      <c r="O424" s="2">
        <v>17.958210999999999</v>
      </c>
      <c r="P424" s="2" t="str">
        <f t="shared" si="20"/>
        <v>15–20 km/h</v>
      </c>
      <c r="Q424" s="2">
        <v>253</v>
      </c>
      <c r="R424" s="2">
        <v>4069</v>
      </c>
      <c r="S424" s="2">
        <v>4322</v>
      </c>
    </row>
    <row r="425" spans="1:19" x14ac:dyDescent="0.3">
      <c r="A425" s="2">
        <v>424</v>
      </c>
      <c r="B425" s="1" t="s">
        <v>716</v>
      </c>
      <c r="C425" t="s">
        <v>907</v>
      </c>
      <c r="D425">
        <v>2019</v>
      </c>
      <c r="E425" t="s">
        <v>932</v>
      </c>
      <c r="F425" t="s">
        <v>908</v>
      </c>
      <c r="G425" t="s">
        <v>911</v>
      </c>
      <c r="H425" t="s">
        <v>909</v>
      </c>
      <c r="I425" t="s">
        <v>917</v>
      </c>
      <c r="J425" s="2">
        <v>14.725847</v>
      </c>
      <c r="K425" s="2">
        <v>17.67625</v>
      </c>
      <c r="L425" s="2" t="str">
        <f t="shared" si="18"/>
        <v>15–20°C</v>
      </c>
      <c r="M425" s="3">
        <v>39.583300000000001</v>
      </c>
      <c r="N425" s="3" t="str">
        <f t="shared" si="19"/>
        <v>20–40%</v>
      </c>
      <c r="O425" s="2">
        <v>12.958939000000001</v>
      </c>
      <c r="P425" s="2" t="str">
        <f t="shared" si="20"/>
        <v>10–15 km/h</v>
      </c>
      <c r="Q425" s="2">
        <v>229</v>
      </c>
      <c r="R425" s="2">
        <v>4134</v>
      </c>
      <c r="S425" s="2">
        <v>4363</v>
      </c>
    </row>
    <row r="426" spans="1:19" x14ac:dyDescent="0.3">
      <c r="A426" s="2">
        <v>425</v>
      </c>
      <c r="B426" s="1">
        <v>43468</v>
      </c>
      <c r="C426" t="s">
        <v>907</v>
      </c>
      <c r="D426">
        <v>2019</v>
      </c>
      <c r="E426" t="s">
        <v>922</v>
      </c>
      <c r="F426" t="s">
        <v>908</v>
      </c>
      <c r="G426" t="s">
        <v>913</v>
      </c>
      <c r="H426" t="s">
        <v>909</v>
      </c>
      <c r="I426" t="s">
        <v>917</v>
      </c>
      <c r="J426" s="2">
        <v>19.919153000000001</v>
      </c>
      <c r="K426" s="2">
        <v>23.768550000000001</v>
      </c>
      <c r="L426" s="2" t="str">
        <f t="shared" si="18"/>
        <v>20–25°C</v>
      </c>
      <c r="M426" s="3">
        <v>61.541699999999999</v>
      </c>
      <c r="N426" s="3" t="str">
        <f t="shared" si="19"/>
        <v>60–80%</v>
      </c>
      <c r="O426" s="2">
        <v>15.208129</v>
      </c>
      <c r="P426" s="2" t="str">
        <f t="shared" si="20"/>
        <v>15–20 km/h</v>
      </c>
      <c r="Q426" s="2">
        <v>325</v>
      </c>
      <c r="R426" s="2">
        <v>4665</v>
      </c>
      <c r="S426" s="2">
        <v>4990</v>
      </c>
    </row>
    <row r="427" spans="1:19" x14ac:dyDescent="0.3">
      <c r="A427" s="2">
        <v>426</v>
      </c>
      <c r="B427" s="1">
        <v>43499</v>
      </c>
      <c r="C427" t="s">
        <v>907</v>
      </c>
      <c r="D427">
        <v>2019</v>
      </c>
      <c r="E427" t="s">
        <v>922</v>
      </c>
      <c r="F427" t="s">
        <v>908</v>
      </c>
      <c r="G427" t="s">
        <v>914</v>
      </c>
      <c r="H427" t="s">
        <v>909</v>
      </c>
      <c r="I427" t="s">
        <v>918</v>
      </c>
      <c r="J427" s="2">
        <v>14.486653</v>
      </c>
      <c r="K427" s="2">
        <v>17.992100000000001</v>
      </c>
      <c r="L427" s="2" t="str">
        <f t="shared" si="18"/>
        <v>15–20°C</v>
      </c>
      <c r="M427" s="3">
        <v>65.708299999999994</v>
      </c>
      <c r="N427" s="3" t="str">
        <f t="shared" si="19"/>
        <v>60–80%</v>
      </c>
      <c r="O427" s="2">
        <v>9.7085679999999996</v>
      </c>
      <c r="P427" s="2" t="str">
        <f t="shared" si="20"/>
        <v>5–10 km/h</v>
      </c>
      <c r="Q427" s="2">
        <v>246</v>
      </c>
      <c r="R427" s="2">
        <v>2948</v>
      </c>
      <c r="S427" s="2">
        <v>3194</v>
      </c>
    </row>
    <row r="428" spans="1:19" x14ac:dyDescent="0.3">
      <c r="A428" s="2">
        <v>427</v>
      </c>
      <c r="B428" s="1">
        <v>43527</v>
      </c>
      <c r="C428" t="s">
        <v>907</v>
      </c>
      <c r="D428">
        <v>2019</v>
      </c>
      <c r="E428" t="s">
        <v>922</v>
      </c>
      <c r="F428" t="s">
        <v>908</v>
      </c>
      <c r="G428" t="s">
        <v>915</v>
      </c>
      <c r="H428" t="s">
        <v>908</v>
      </c>
      <c r="I428" t="s">
        <v>918</v>
      </c>
      <c r="J428" s="2">
        <v>16.980847000000001</v>
      </c>
      <c r="K428" s="2">
        <v>20.674600000000002</v>
      </c>
      <c r="L428" s="2" t="str">
        <f t="shared" si="18"/>
        <v>20–25°C</v>
      </c>
      <c r="M428" s="3">
        <v>62.125</v>
      </c>
      <c r="N428" s="3" t="str">
        <f t="shared" si="19"/>
        <v>60–80%</v>
      </c>
      <c r="O428" s="2">
        <v>10.792293000000001</v>
      </c>
      <c r="P428" s="2" t="str">
        <f t="shared" si="20"/>
        <v>10–15 km/h</v>
      </c>
      <c r="Q428" s="2">
        <v>956</v>
      </c>
      <c r="R428" s="2">
        <v>3110</v>
      </c>
      <c r="S428" s="2">
        <v>4066</v>
      </c>
    </row>
    <row r="429" spans="1:19" x14ac:dyDescent="0.3">
      <c r="A429" s="2">
        <v>428</v>
      </c>
      <c r="B429" s="1">
        <v>43558</v>
      </c>
      <c r="C429" t="s">
        <v>907</v>
      </c>
      <c r="D429">
        <v>2019</v>
      </c>
      <c r="E429" t="s">
        <v>922</v>
      </c>
      <c r="F429" t="s">
        <v>908</v>
      </c>
      <c r="G429" t="s">
        <v>916</v>
      </c>
      <c r="H429" t="s">
        <v>908</v>
      </c>
      <c r="I429" t="s">
        <v>917</v>
      </c>
      <c r="J429" s="2">
        <v>13.359152999999999</v>
      </c>
      <c r="K429" s="2">
        <v>15.15105</v>
      </c>
      <c r="L429" s="2" t="str">
        <f t="shared" si="18"/>
        <v>15–20°C</v>
      </c>
      <c r="M429" s="3">
        <v>40.333300000000001</v>
      </c>
      <c r="N429" s="3" t="str">
        <f t="shared" si="19"/>
        <v>40–60%</v>
      </c>
      <c r="O429" s="2">
        <v>22.416257000000002</v>
      </c>
      <c r="P429" s="2" t="str">
        <f t="shared" si="20"/>
        <v>20–25 km/h</v>
      </c>
      <c r="Q429" s="2">
        <v>710</v>
      </c>
      <c r="R429" s="2">
        <v>2713</v>
      </c>
      <c r="S429" s="2">
        <v>3423</v>
      </c>
    </row>
    <row r="430" spans="1:19" x14ac:dyDescent="0.3">
      <c r="A430" s="2">
        <v>429</v>
      </c>
      <c r="B430" s="1">
        <v>43588</v>
      </c>
      <c r="C430" t="s">
        <v>907</v>
      </c>
      <c r="D430">
        <v>2019</v>
      </c>
      <c r="E430" t="s">
        <v>922</v>
      </c>
      <c r="F430" t="s">
        <v>908</v>
      </c>
      <c r="G430" t="s">
        <v>910</v>
      </c>
      <c r="H430" t="s">
        <v>909</v>
      </c>
      <c r="I430" t="s">
        <v>917</v>
      </c>
      <c r="J430" s="2">
        <v>9.9766530000000007</v>
      </c>
      <c r="K430" s="2">
        <v>12.05855</v>
      </c>
      <c r="L430" s="2" t="str">
        <f t="shared" si="18"/>
        <v>10–15°C</v>
      </c>
      <c r="M430" s="3">
        <v>50.625</v>
      </c>
      <c r="N430" s="3" t="str">
        <f t="shared" si="19"/>
        <v>40–60%</v>
      </c>
      <c r="O430" s="2">
        <v>15.333486000000001</v>
      </c>
      <c r="P430" s="2" t="str">
        <f t="shared" si="20"/>
        <v>15–20 km/h</v>
      </c>
      <c r="Q430" s="2">
        <v>203</v>
      </c>
      <c r="R430" s="2">
        <v>3130</v>
      </c>
      <c r="S430" s="2">
        <v>3333</v>
      </c>
    </row>
    <row r="431" spans="1:19" x14ac:dyDescent="0.3">
      <c r="A431" s="2">
        <v>430</v>
      </c>
      <c r="B431" s="1">
        <v>43619</v>
      </c>
      <c r="C431" t="s">
        <v>907</v>
      </c>
      <c r="D431">
        <v>2019</v>
      </c>
      <c r="E431" t="s">
        <v>922</v>
      </c>
      <c r="F431" t="s">
        <v>908</v>
      </c>
      <c r="G431" t="s">
        <v>911</v>
      </c>
      <c r="H431" t="s">
        <v>909</v>
      </c>
      <c r="I431" t="s">
        <v>917</v>
      </c>
      <c r="J431" s="2">
        <v>10.591653000000001</v>
      </c>
      <c r="K431" s="2">
        <v>12.7521</v>
      </c>
      <c r="L431" s="2" t="str">
        <f t="shared" si="18"/>
        <v>10–15°C</v>
      </c>
      <c r="M431" s="3">
        <v>45.666699999999999</v>
      </c>
      <c r="N431" s="3" t="str">
        <f t="shared" si="19"/>
        <v>40–60%</v>
      </c>
      <c r="O431" s="2">
        <v>13.458625</v>
      </c>
      <c r="P431" s="2" t="str">
        <f t="shared" si="20"/>
        <v>10–15 km/h</v>
      </c>
      <c r="Q431" s="2">
        <v>221</v>
      </c>
      <c r="R431" s="2">
        <v>3735</v>
      </c>
      <c r="S431" s="2">
        <v>3956</v>
      </c>
    </row>
    <row r="432" spans="1:19" x14ac:dyDescent="0.3">
      <c r="A432" s="2">
        <v>431</v>
      </c>
      <c r="B432" s="1">
        <v>43649</v>
      </c>
      <c r="C432" t="s">
        <v>907</v>
      </c>
      <c r="D432">
        <v>2019</v>
      </c>
      <c r="E432" t="s">
        <v>922</v>
      </c>
      <c r="F432" t="s">
        <v>908</v>
      </c>
      <c r="G432" t="s">
        <v>912</v>
      </c>
      <c r="H432" t="s">
        <v>909</v>
      </c>
      <c r="I432" t="s">
        <v>917</v>
      </c>
      <c r="J432" s="2">
        <v>16.570847000000001</v>
      </c>
      <c r="K432" s="2">
        <v>19.254999999999999</v>
      </c>
      <c r="L432" s="2" t="str">
        <f t="shared" si="18"/>
        <v>15–20°C</v>
      </c>
      <c r="M432" s="3">
        <v>51.333300000000001</v>
      </c>
      <c r="N432" s="3" t="str">
        <f t="shared" si="19"/>
        <v>40–60%</v>
      </c>
      <c r="O432" s="2">
        <v>23.167193000000001</v>
      </c>
      <c r="P432" s="2" t="str">
        <f t="shared" si="20"/>
        <v>20–25 km/h</v>
      </c>
      <c r="Q432" s="2">
        <v>432</v>
      </c>
      <c r="R432" s="2">
        <v>4484</v>
      </c>
      <c r="S432" s="2">
        <v>4916</v>
      </c>
    </row>
    <row r="433" spans="1:19" x14ac:dyDescent="0.3">
      <c r="A433" s="2">
        <v>432</v>
      </c>
      <c r="B433" s="1">
        <v>43680</v>
      </c>
      <c r="C433" t="s">
        <v>907</v>
      </c>
      <c r="D433">
        <v>2019</v>
      </c>
      <c r="E433" t="s">
        <v>922</v>
      </c>
      <c r="F433" t="s">
        <v>908</v>
      </c>
      <c r="G433" t="s">
        <v>913</v>
      </c>
      <c r="H433" t="s">
        <v>909</v>
      </c>
      <c r="I433" t="s">
        <v>917</v>
      </c>
      <c r="J433" s="2">
        <v>21.627500000000001</v>
      </c>
      <c r="K433" s="2">
        <v>26.2302</v>
      </c>
      <c r="L433" s="2" t="str">
        <f t="shared" si="18"/>
        <v>25–30°C</v>
      </c>
      <c r="M433" s="3">
        <v>56.75</v>
      </c>
      <c r="N433" s="3" t="str">
        <f t="shared" si="19"/>
        <v>40–60%</v>
      </c>
      <c r="O433" s="2">
        <v>29.584720999999998</v>
      </c>
      <c r="P433" s="2" t="str">
        <f t="shared" si="20"/>
        <v>25–30 km/h</v>
      </c>
      <c r="Q433" s="2">
        <v>486</v>
      </c>
      <c r="R433" s="2">
        <v>4896</v>
      </c>
      <c r="S433" s="2">
        <v>5382</v>
      </c>
    </row>
    <row r="434" spans="1:19" x14ac:dyDescent="0.3">
      <c r="A434" s="2">
        <v>433</v>
      </c>
      <c r="B434" s="1">
        <v>43711</v>
      </c>
      <c r="C434" t="s">
        <v>907</v>
      </c>
      <c r="D434">
        <v>2019</v>
      </c>
      <c r="E434" t="s">
        <v>922</v>
      </c>
      <c r="F434" t="s">
        <v>908</v>
      </c>
      <c r="G434" t="s">
        <v>914</v>
      </c>
      <c r="H434" t="s">
        <v>909</v>
      </c>
      <c r="I434" t="s">
        <v>918</v>
      </c>
      <c r="J434" s="2">
        <v>16.844152999999999</v>
      </c>
      <c r="K434" s="2">
        <v>19.854150000000001</v>
      </c>
      <c r="L434" s="2" t="str">
        <f t="shared" si="18"/>
        <v>15–20°C</v>
      </c>
      <c r="M434" s="3">
        <v>40.708300000000001</v>
      </c>
      <c r="N434" s="3" t="str">
        <f t="shared" si="19"/>
        <v>40–60%</v>
      </c>
      <c r="O434" s="2">
        <v>27.791599999999999</v>
      </c>
      <c r="P434" s="2" t="str">
        <f t="shared" si="20"/>
        <v>25–30 km/h</v>
      </c>
      <c r="Q434" s="2">
        <v>447</v>
      </c>
      <c r="R434" s="2">
        <v>4122</v>
      </c>
      <c r="S434" s="2">
        <v>4569</v>
      </c>
    </row>
    <row r="435" spans="1:19" x14ac:dyDescent="0.3">
      <c r="A435" s="2">
        <v>434</v>
      </c>
      <c r="B435" s="1">
        <v>43741</v>
      </c>
      <c r="C435" t="s">
        <v>907</v>
      </c>
      <c r="D435">
        <v>2019</v>
      </c>
      <c r="E435" t="s">
        <v>922</v>
      </c>
      <c r="F435" t="s">
        <v>908</v>
      </c>
      <c r="G435" t="s">
        <v>915</v>
      </c>
      <c r="H435" t="s">
        <v>908</v>
      </c>
      <c r="I435" t="s">
        <v>917</v>
      </c>
      <c r="J435" s="2">
        <v>11.7875</v>
      </c>
      <c r="K435" s="2">
        <v>13.888350000000001</v>
      </c>
      <c r="L435" s="2" t="str">
        <f t="shared" si="18"/>
        <v>10–15°C</v>
      </c>
      <c r="M435" s="3">
        <v>35.041699999999999</v>
      </c>
      <c r="N435" s="3" t="str">
        <f t="shared" si="19"/>
        <v>20–40%</v>
      </c>
      <c r="O435" s="2">
        <v>15.125249999999999</v>
      </c>
      <c r="P435" s="2" t="str">
        <f t="shared" si="20"/>
        <v>15–20 km/h</v>
      </c>
      <c r="Q435" s="2">
        <v>968</v>
      </c>
      <c r="R435" s="2">
        <v>3150</v>
      </c>
      <c r="S435" s="2">
        <v>4118</v>
      </c>
    </row>
    <row r="436" spans="1:19" x14ac:dyDescent="0.3">
      <c r="A436" s="2">
        <v>435</v>
      </c>
      <c r="B436" s="1">
        <v>43772</v>
      </c>
      <c r="C436" t="s">
        <v>907</v>
      </c>
      <c r="D436">
        <v>2019</v>
      </c>
      <c r="E436" t="s">
        <v>922</v>
      </c>
      <c r="F436" t="s">
        <v>908</v>
      </c>
      <c r="G436" t="s">
        <v>916</v>
      </c>
      <c r="H436" t="s">
        <v>908</v>
      </c>
      <c r="I436" t="s">
        <v>917</v>
      </c>
      <c r="J436" s="2">
        <v>14.831299</v>
      </c>
      <c r="K436" s="2">
        <v>17.983499999999999</v>
      </c>
      <c r="L436" s="2" t="str">
        <f t="shared" si="18"/>
        <v>15–20°C</v>
      </c>
      <c r="M436" s="3">
        <v>47.695700000000002</v>
      </c>
      <c r="N436" s="3" t="str">
        <f t="shared" si="19"/>
        <v>40–60%</v>
      </c>
      <c r="O436" s="2">
        <v>14.913328999999999</v>
      </c>
      <c r="P436" s="2" t="str">
        <f t="shared" si="20"/>
        <v>10–15 km/h</v>
      </c>
      <c r="Q436" s="2">
        <v>1658</v>
      </c>
      <c r="R436" s="2">
        <v>3253</v>
      </c>
      <c r="S436" s="2">
        <v>4911</v>
      </c>
    </row>
    <row r="437" spans="1:19" x14ac:dyDescent="0.3">
      <c r="A437" s="2">
        <v>436</v>
      </c>
      <c r="B437" s="1">
        <v>43802</v>
      </c>
      <c r="C437" t="s">
        <v>907</v>
      </c>
      <c r="D437">
        <v>2019</v>
      </c>
      <c r="E437" t="s">
        <v>922</v>
      </c>
      <c r="F437" t="s">
        <v>908</v>
      </c>
      <c r="G437" t="s">
        <v>910</v>
      </c>
      <c r="H437" t="s">
        <v>909</v>
      </c>
      <c r="I437" t="s">
        <v>917</v>
      </c>
      <c r="J437" s="2">
        <v>19.133347000000001</v>
      </c>
      <c r="K437" s="2">
        <v>22.979600000000001</v>
      </c>
      <c r="L437" s="2" t="str">
        <f t="shared" si="18"/>
        <v>20–25°C</v>
      </c>
      <c r="M437" s="3">
        <v>48.916699999999999</v>
      </c>
      <c r="N437" s="3" t="str">
        <f t="shared" si="19"/>
        <v>40–60%</v>
      </c>
      <c r="O437" s="2">
        <v>13.916771000000001</v>
      </c>
      <c r="P437" s="2" t="str">
        <f t="shared" si="20"/>
        <v>10–15 km/h</v>
      </c>
      <c r="Q437" s="2">
        <v>838</v>
      </c>
      <c r="R437" s="2">
        <v>4460</v>
      </c>
      <c r="S437" s="2">
        <v>5298</v>
      </c>
    </row>
    <row r="438" spans="1:19" x14ac:dyDescent="0.3">
      <c r="A438" s="2">
        <v>437</v>
      </c>
      <c r="B438" s="1" t="s">
        <v>717</v>
      </c>
      <c r="C438" t="s">
        <v>907</v>
      </c>
      <c r="D438">
        <v>2019</v>
      </c>
      <c r="E438" t="s">
        <v>922</v>
      </c>
      <c r="F438" t="s">
        <v>908</v>
      </c>
      <c r="G438" t="s">
        <v>911</v>
      </c>
      <c r="H438" t="s">
        <v>909</v>
      </c>
      <c r="I438" t="s">
        <v>917</v>
      </c>
      <c r="J438" s="2">
        <v>23.164999999999999</v>
      </c>
      <c r="K438" s="2">
        <v>27.146450000000002</v>
      </c>
      <c r="L438" s="2" t="str">
        <f t="shared" si="18"/>
        <v>25–30°C</v>
      </c>
      <c r="M438" s="3">
        <v>61.75</v>
      </c>
      <c r="N438" s="3" t="str">
        <f t="shared" si="19"/>
        <v>60–80%</v>
      </c>
      <c r="O438" s="2">
        <v>15.87565</v>
      </c>
      <c r="P438" s="2" t="str">
        <f t="shared" si="20"/>
        <v>15–20 km/h</v>
      </c>
      <c r="Q438" s="2">
        <v>762</v>
      </c>
      <c r="R438" s="2">
        <v>5085</v>
      </c>
      <c r="S438" s="2">
        <v>5847</v>
      </c>
    </row>
    <row r="439" spans="1:19" x14ac:dyDescent="0.3">
      <c r="A439" s="2">
        <v>438</v>
      </c>
      <c r="B439" s="1" t="s">
        <v>718</v>
      </c>
      <c r="C439" t="s">
        <v>907</v>
      </c>
      <c r="D439">
        <v>2019</v>
      </c>
      <c r="E439" t="s">
        <v>922</v>
      </c>
      <c r="F439" t="s">
        <v>908</v>
      </c>
      <c r="G439" t="s">
        <v>912</v>
      </c>
      <c r="H439" t="s">
        <v>909</v>
      </c>
      <c r="I439" t="s">
        <v>917</v>
      </c>
      <c r="J439" s="2">
        <v>23.4725</v>
      </c>
      <c r="K439" s="2">
        <v>27.43085</v>
      </c>
      <c r="L439" s="2" t="str">
        <f t="shared" si="18"/>
        <v>25–30°C</v>
      </c>
      <c r="M439" s="3">
        <v>50.708300000000001</v>
      </c>
      <c r="N439" s="3" t="str">
        <f t="shared" si="19"/>
        <v>40–60%</v>
      </c>
      <c r="O439" s="2">
        <v>7.7091539999999998</v>
      </c>
      <c r="P439" s="2" t="str">
        <f t="shared" si="20"/>
        <v>5–10 km/h</v>
      </c>
      <c r="Q439" s="2">
        <v>997</v>
      </c>
      <c r="R439" s="2">
        <v>5315</v>
      </c>
      <c r="S439" s="2">
        <v>6312</v>
      </c>
    </row>
    <row r="440" spans="1:19" x14ac:dyDescent="0.3">
      <c r="A440" s="2">
        <v>439</v>
      </c>
      <c r="B440" s="1" t="s">
        <v>719</v>
      </c>
      <c r="C440" t="s">
        <v>907</v>
      </c>
      <c r="D440">
        <v>2019</v>
      </c>
      <c r="E440" t="s">
        <v>922</v>
      </c>
      <c r="F440" t="s">
        <v>908</v>
      </c>
      <c r="G440" t="s">
        <v>913</v>
      </c>
      <c r="H440" t="s">
        <v>909</v>
      </c>
      <c r="I440" t="s">
        <v>917</v>
      </c>
      <c r="J440" s="2">
        <v>22.857500000000002</v>
      </c>
      <c r="K440" s="2">
        <v>26.641249999999999</v>
      </c>
      <c r="L440" s="2" t="str">
        <f t="shared" si="18"/>
        <v>25–30°C</v>
      </c>
      <c r="M440" s="3">
        <v>57.958300000000001</v>
      </c>
      <c r="N440" s="3" t="str">
        <f t="shared" si="19"/>
        <v>40–60%</v>
      </c>
      <c r="O440" s="2">
        <v>10.042161</v>
      </c>
      <c r="P440" s="2" t="str">
        <f t="shared" si="20"/>
        <v>10–15 km/h</v>
      </c>
      <c r="Q440" s="2">
        <v>1005</v>
      </c>
      <c r="R440" s="2">
        <v>5187</v>
      </c>
      <c r="S440" s="2">
        <v>6192</v>
      </c>
    </row>
    <row r="441" spans="1:19" x14ac:dyDescent="0.3">
      <c r="A441" s="2">
        <v>440</v>
      </c>
      <c r="B441" s="1" t="s">
        <v>720</v>
      </c>
      <c r="C441" t="s">
        <v>907</v>
      </c>
      <c r="D441">
        <v>2019</v>
      </c>
      <c r="E441" t="s">
        <v>922</v>
      </c>
      <c r="F441" t="s">
        <v>908</v>
      </c>
      <c r="G441" t="s">
        <v>914</v>
      </c>
      <c r="H441" t="s">
        <v>909</v>
      </c>
      <c r="I441" t="s">
        <v>918</v>
      </c>
      <c r="J441" s="2">
        <v>17.869153000000001</v>
      </c>
      <c r="K441" s="2">
        <v>21.811450000000001</v>
      </c>
      <c r="L441" s="2" t="str">
        <f t="shared" si="18"/>
        <v>20–25°C</v>
      </c>
      <c r="M441" s="3">
        <v>84.208299999999994</v>
      </c>
      <c r="N441" s="3" t="str">
        <f t="shared" si="19"/>
        <v>80–100%</v>
      </c>
      <c r="O441" s="2">
        <v>7.5838640000000002</v>
      </c>
      <c r="P441" s="2" t="str">
        <f t="shared" si="20"/>
        <v>5–10 km/h</v>
      </c>
      <c r="Q441" s="2">
        <v>548</v>
      </c>
      <c r="R441" s="2">
        <v>3830</v>
      </c>
      <c r="S441" s="2">
        <v>4378</v>
      </c>
    </row>
    <row r="442" spans="1:19" x14ac:dyDescent="0.3">
      <c r="A442" s="2">
        <v>441</v>
      </c>
      <c r="B442" s="1" t="s">
        <v>721</v>
      </c>
      <c r="C442" t="s">
        <v>907</v>
      </c>
      <c r="D442">
        <v>2019</v>
      </c>
      <c r="E442" t="s">
        <v>922</v>
      </c>
      <c r="F442" t="s">
        <v>908</v>
      </c>
      <c r="G442" t="s">
        <v>915</v>
      </c>
      <c r="H442" t="s">
        <v>908</v>
      </c>
      <c r="I442" t="s">
        <v>918</v>
      </c>
      <c r="J442" s="2">
        <v>21.080846999999999</v>
      </c>
      <c r="K442" s="2">
        <v>25.252300000000002</v>
      </c>
      <c r="L442" s="2" t="str">
        <f t="shared" si="18"/>
        <v>25–30°C</v>
      </c>
      <c r="M442" s="3">
        <v>75.583299999999994</v>
      </c>
      <c r="N442" s="3" t="str">
        <f t="shared" si="19"/>
        <v>60–80%</v>
      </c>
      <c r="O442" s="2">
        <v>7.4171680000000002</v>
      </c>
      <c r="P442" s="2" t="str">
        <f t="shared" si="20"/>
        <v>5–10 km/h</v>
      </c>
      <c r="Q442" s="2">
        <v>3155</v>
      </c>
      <c r="R442" s="2">
        <v>4681</v>
      </c>
      <c r="S442" s="2">
        <v>7836</v>
      </c>
    </row>
    <row r="443" spans="1:19" x14ac:dyDescent="0.3">
      <c r="A443" s="2">
        <v>442</v>
      </c>
      <c r="B443" s="1" t="s">
        <v>722</v>
      </c>
      <c r="C443" t="s">
        <v>907</v>
      </c>
      <c r="D443">
        <v>2019</v>
      </c>
      <c r="E443" t="s">
        <v>922</v>
      </c>
      <c r="F443" t="s">
        <v>908</v>
      </c>
      <c r="G443" t="s">
        <v>916</v>
      </c>
      <c r="H443" t="s">
        <v>908</v>
      </c>
      <c r="I443" t="s">
        <v>918</v>
      </c>
      <c r="J443" s="2">
        <v>19.372499999999999</v>
      </c>
      <c r="K443" s="2">
        <v>23.2</v>
      </c>
      <c r="L443" s="2" t="str">
        <f t="shared" si="18"/>
        <v>20–25°C</v>
      </c>
      <c r="M443" s="3">
        <v>81</v>
      </c>
      <c r="N443" s="3" t="str">
        <f t="shared" si="19"/>
        <v>80–100%</v>
      </c>
      <c r="O443" s="2">
        <v>8.5011609999999997</v>
      </c>
      <c r="P443" s="2" t="str">
        <f t="shared" si="20"/>
        <v>5–10 km/h</v>
      </c>
      <c r="Q443" s="2">
        <v>2207</v>
      </c>
      <c r="R443" s="2">
        <v>3685</v>
      </c>
      <c r="S443" s="2">
        <v>5892</v>
      </c>
    </row>
    <row r="444" spans="1:19" x14ac:dyDescent="0.3">
      <c r="A444" s="2">
        <v>443</v>
      </c>
      <c r="B444" s="1" t="s">
        <v>723</v>
      </c>
      <c r="C444" t="s">
        <v>907</v>
      </c>
      <c r="D444">
        <v>2019</v>
      </c>
      <c r="E444" t="s">
        <v>922</v>
      </c>
      <c r="F444" t="s">
        <v>908</v>
      </c>
      <c r="G444" t="s">
        <v>910</v>
      </c>
      <c r="H444" t="s">
        <v>909</v>
      </c>
      <c r="I444" t="s">
        <v>917</v>
      </c>
      <c r="J444" s="2">
        <v>22.344999999999999</v>
      </c>
      <c r="K444" s="2">
        <v>26.64105</v>
      </c>
      <c r="L444" s="2" t="str">
        <f t="shared" si="18"/>
        <v>25–30°C</v>
      </c>
      <c r="M444" s="3">
        <v>72.875</v>
      </c>
      <c r="N444" s="3" t="str">
        <f t="shared" si="19"/>
        <v>60–80%</v>
      </c>
      <c r="O444" s="2">
        <v>10.875239000000001</v>
      </c>
      <c r="P444" s="2" t="str">
        <f t="shared" si="20"/>
        <v>10–15 km/h</v>
      </c>
      <c r="Q444" s="2">
        <v>982</v>
      </c>
      <c r="R444" s="2">
        <v>5171</v>
      </c>
      <c r="S444" s="2">
        <v>6153</v>
      </c>
    </row>
    <row r="445" spans="1:19" x14ac:dyDescent="0.3">
      <c r="A445" s="2">
        <v>444</v>
      </c>
      <c r="B445" s="1" t="s">
        <v>724</v>
      </c>
      <c r="C445" t="s">
        <v>907</v>
      </c>
      <c r="D445">
        <v>2019</v>
      </c>
      <c r="E445" t="s">
        <v>922</v>
      </c>
      <c r="F445" t="s">
        <v>908</v>
      </c>
      <c r="G445" t="s">
        <v>911</v>
      </c>
      <c r="H445" t="s">
        <v>909</v>
      </c>
      <c r="I445" t="s">
        <v>917</v>
      </c>
      <c r="J445" s="2">
        <v>22.994153000000001</v>
      </c>
      <c r="K445" s="2">
        <v>26.926649999999999</v>
      </c>
      <c r="L445" s="2" t="str">
        <f t="shared" si="18"/>
        <v>25–30°C</v>
      </c>
      <c r="M445" s="3">
        <v>80.791700000000006</v>
      </c>
      <c r="N445" s="3" t="str">
        <f t="shared" si="19"/>
        <v>80–100%</v>
      </c>
      <c r="O445" s="2">
        <v>8.1251569999999997</v>
      </c>
      <c r="P445" s="2" t="str">
        <f t="shared" si="20"/>
        <v>5–10 km/h</v>
      </c>
      <c r="Q445" s="2">
        <v>1051</v>
      </c>
      <c r="R445" s="2">
        <v>5042</v>
      </c>
      <c r="S445" s="2">
        <v>6093</v>
      </c>
    </row>
    <row r="446" spans="1:19" x14ac:dyDescent="0.3">
      <c r="A446" s="2">
        <v>445</v>
      </c>
      <c r="B446" s="1" t="s">
        <v>725</v>
      </c>
      <c r="C446" t="s">
        <v>904</v>
      </c>
      <c r="D446">
        <v>2019</v>
      </c>
      <c r="E446" t="s">
        <v>922</v>
      </c>
      <c r="F446" t="s">
        <v>908</v>
      </c>
      <c r="G446" t="s">
        <v>912</v>
      </c>
      <c r="H446" t="s">
        <v>909</v>
      </c>
      <c r="I446" t="s">
        <v>918</v>
      </c>
      <c r="J446" s="2">
        <v>21.798347</v>
      </c>
      <c r="K446" s="2">
        <v>25.6629</v>
      </c>
      <c r="L446" s="2" t="str">
        <f t="shared" si="18"/>
        <v>25–30°C</v>
      </c>
      <c r="M446" s="3">
        <v>82.125</v>
      </c>
      <c r="N446" s="3" t="str">
        <f t="shared" si="19"/>
        <v>80–100%</v>
      </c>
      <c r="O446" s="2">
        <v>6.0004061000000002</v>
      </c>
      <c r="P446" s="2" t="str">
        <f t="shared" si="20"/>
        <v>5–10 km/h</v>
      </c>
      <c r="Q446" s="2">
        <v>1122</v>
      </c>
      <c r="R446" s="2">
        <v>5108</v>
      </c>
      <c r="S446" s="2">
        <v>6230</v>
      </c>
    </row>
    <row r="447" spans="1:19" x14ac:dyDescent="0.3">
      <c r="A447" s="2">
        <v>446</v>
      </c>
      <c r="B447" s="1" t="s">
        <v>726</v>
      </c>
      <c r="C447" t="s">
        <v>904</v>
      </c>
      <c r="D447">
        <v>2019</v>
      </c>
      <c r="E447" t="s">
        <v>922</v>
      </c>
      <c r="F447" t="s">
        <v>908</v>
      </c>
      <c r="G447" t="s">
        <v>913</v>
      </c>
      <c r="H447" t="s">
        <v>909</v>
      </c>
      <c r="I447" t="s">
        <v>917</v>
      </c>
      <c r="J447" s="2">
        <v>22.720846999999999</v>
      </c>
      <c r="K447" s="2">
        <v>26.57835</v>
      </c>
      <c r="L447" s="2" t="str">
        <f t="shared" si="18"/>
        <v>25–30°C</v>
      </c>
      <c r="M447" s="3">
        <v>83.125</v>
      </c>
      <c r="N447" s="3" t="str">
        <f t="shared" si="19"/>
        <v>80–100%</v>
      </c>
      <c r="O447" s="2">
        <v>7.8766540000000003</v>
      </c>
      <c r="P447" s="2" t="str">
        <f t="shared" si="20"/>
        <v>5–10 km/h</v>
      </c>
      <c r="Q447" s="2">
        <v>1334</v>
      </c>
      <c r="R447" s="2">
        <v>5537</v>
      </c>
      <c r="S447" s="2">
        <v>6871</v>
      </c>
    </row>
    <row r="448" spans="1:19" x14ac:dyDescent="0.3">
      <c r="A448" s="2">
        <v>447</v>
      </c>
      <c r="B448" s="1" t="s">
        <v>727</v>
      </c>
      <c r="C448" t="s">
        <v>904</v>
      </c>
      <c r="D448">
        <v>2019</v>
      </c>
      <c r="E448" t="s">
        <v>922</v>
      </c>
      <c r="F448" t="s">
        <v>908</v>
      </c>
      <c r="G448" t="s">
        <v>914</v>
      </c>
      <c r="H448" t="s">
        <v>909</v>
      </c>
      <c r="I448" t="s">
        <v>918</v>
      </c>
      <c r="J448" s="2">
        <v>24.668347000000001</v>
      </c>
      <c r="K448" s="2">
        <v>28.503350000000001</v>
      </c>
      <c r="L448" s="2" t="str">
        <f t="shared" si="18"/>
        <v>25–30°C</v>
      </c>
      <c r="M448" s="3">
        <v>69.416700000000006</v>
      </c>
      <c r="N448" s="3" t="str">
        <f t="shared" si="19"/>
        <v>60–80%</v>
      </c>
      <c r="O448" s="2">
        <v>7.7920999999999996</v>
      </c>
      <c r="P448" s="2" t="str">
        <f t="shared" si="20"/>
        <v>5–10 km/h</v>
      </c>
      <c r="Q448" s="2">
        <v>2469</v>
      </c>
      <c r="R448" s="2">
        <v>5893</v>
      </c>
      <c r="S448" s="2">
        <v>8362</v>
      </c>
    </row>
    <row r="449" spans="1:19" x14ac:dyDescent="0.3">
      <c r="A449" s="2">
        <v>448</v>
      </c>
      <c r="B449" s="1" t="s">
        <v>728</v>
      </c>
      <c r="C449" t="s">
        <v>904</v>
      </c>
      <c r="D449">
        <v>2019</v>
      </c>
      <c r="E449" t="s">
        <v>922</v>
      </c>
      <c r="F449" t="s">
        <v>908</v>
      </c>
      <c r="G449" t="s">
        <v>915</v>
      </c>
      <c r="H449" t="s">
        <v>908</v>
      </c>
      <c r="I449" t="s">
        <v>918</v>
      </c>
      <c r="J449" s="2">
        <v>20.602499999999999</v>
      </c>
      <c r="K449" s="2">
        <v>24.336649999999999</v>
      </c>
      <c r="L449" s="2" t="str">
        <f t="shared" si="18"/>
        <v>20–25°C</v>
      </c>
      <c r="M449" s="3">
        <v>88.541700000000006</v>
      </c>
      <c r="N449" s="3" t="str">
        <f t="shared" si="19"/>
        <v>80–100%</v>
      </c>
      <c r="O449" s="2">
        <v>12.916461</v>
      </c>
      <c r="P449" s="2" t="str">
        <f t="shared" si="20"/>
        <v>10–15 km/h</v>
      </c>
      <c r="Q449" s="2">
        <v>1033</v>
      </c>
      <c r="R449" s="2">
        <v>2339</v>
      </c>
      <c r="S449" s="2">
        <v>3372</v>
      </c>
    </row>
    <row r="450" spans="1:19" x14ac:dyDescent="0.3">
      <c r="A450" s="2">
        <v>449</v>
      </c>
      <c r="B450" s="1" t="s">
        <v>729</v>
      </c>
      <c r="C450" t="s">
        <v>904</v>
      </c>
      <c r="D450">
        <v>2019</v>
      </c>
      <c r="E450" t="s">
        <v>922</v>
      </c>
      <c r="F450" t="s">
        <v>908</v>
      </c>
      <c r="G450" t="s">
        <v>916</v>
      </c>
      <c r="H450" t="s">
        <v>908</v>
      </c>
      <c r="I450" t="s">
        <v>918</v>
      </c>
      <c r="J450" s="2">
        <v>17.9375</v>
      </c>
      <c r="K450" s="2">
        <v>21.874400000000001</v>
      </c>
      <c r="L450" s="2" t="str">
        <f t="shared" ref="L450:L513" si="21">FLOOR(K450,5)&amp;"–"&amp;FLOOR(K450,5)+5&amp;"°C"</f>
        <v>20–25°C</v>
      </c>
      <c r="M450" s="3">
        <v>88.083299999999994</v>
      </c>
      <c r="N450" s="3" t="str">
        <f t="shared" ref="N450:N513" si="22">FLOOR(M450,20)&amp;"–"&amp;FLOOR(M450,20)+20&amp;"%"</f>
        <v>80–100%</v>
      </c>
      <c r="O450" s="2">
        <v>14.791925000000001</v>
      </c>
      <c r="P450" s="2" t="str">
        <f t="shared" ref="P450:P513" si="23">FLOOR(O450,5)&amp;"–"&amp;FLOOR(O450,5)+5&amp;" km/h"</f>
        <v>10–15 km/h</v>
      </c>
      <c r="Q450" s="2">
        <v>1532</v>
      </c>
      <c r="R450" s="2">
        <v>3464</v>
      </c>
      <c r="S450" s="2">
        <v>4996</v>
      </c>
    </row>
    <row r="451" spans="1:19" x14ac:dyDescent="0.3">
      <c r="A451" s="2">
        <v>450</v>
      </c>
      <c r="B451" s="1" t="s">
        <v>730</v>
      </c>
      <c r="C451" t="s">
        <v>904</v>
      </c>
      <c r="D451">
        <v>2019</v>
      </c>
      <c r="E451" t="s">
        <v>922</v>
      </c>
      <c r="F451" t="s">
        <v>908</v>
      </c>
      <c r="G451" t="s">
        <v>910</v>
      </c>
      <c r="H451" t="s">
        <v>909</v>
      </c>
      <c r="I451" t="s">
        <v>917</v>
      </c>
      <c r="J451" s="2">
        <v>18.279153000000001</v>
      </c>
      <c r="K451" s="2">
        <v>21.9375</v>
      </c>
      <c r="L451" s="2" t="str">
        <f t="shared" si="21"/>
        <v>20–25°C</v>
      </c>
      <c r="M451" s="3">
        <v>47.791699999999999</v>
      </c>
      <c r="N451" s="3" t="str">
        <f t="shared" si="22"/>
        <v>40–60%</v>
      </c>
      <c r="O451" s="2">
        <v>25.917007000000002</v>
      </c>
      <c r="P451" s="2" t="str">
        <f t="shared" si="23"/>
        <v>25–30 km/h</v>
      </c>
      <c r="Q451" s="2">
        <v>795</v>
      </c>
      <c r="R451" s="2">
        <v>4763</v>
      </c>
      <c r="S451" s="2">
        <v>5558</v>
      </c>
    </row>
    <row r="452" spans="1:19" x14ac:dyDescent="0.3">
      <c r="A452" s="2">
        <v>451</v>
      </c>
      <c r="B452" s="1" t="s">
        <v>731</v>
      </c>
      <c r="C452" t="s">
        <v>904</v>
      </c>
      <c r="D452">
        <v>2019</v>
      </c>
      <c r="E452" t="s">
        <v>922</v>
      </c>
      <c r="F452" t="s">
        <v>908</v>
      </c>
      <c r="G452" t="s">
        <v>911</v>
      </c>
      <c r="H452" t="s">
        <v>909</v>
      </c>
      <c r="I452" t="s">
        <v>917</v>
      </c>
      <c r="J452" s="2">
        <v>13.256653</v>
      </c>
      <c r="K452" s="2">
        <v>15.7827</v>
      </c>
      <c r="L452" s="2" t="str">
        <f t="shared" si="21"/>
        <v>15–20°C</v>
      </c>
      <c r="M452" s="3">
        <v>29</v>
      </c>
      <c r="N452" s="3" t="str">
        <f t="shared" si="22"/>
        <v>20–40%</v>
      </c>
      <c r="O452" s="2">
        <v>12.541864</v>
      </c>
      <c r="P452" s="2" t="str">
        <f t="shared" si="23"/>
        <v>10–15 km/h</v>
      </c>
      <c r="Q452" s="2">
        <v>531</v>
      </c>
      <c r="R452" s="2">
        <v>4571</v>
      </c>
      <c r="S452" s="2">
        <v>5102</v>
      </c>
    </row>
    <row r="453" spans="1:19" x14ac:dyDescent="0.3">
      <c r="A453" s="2">
        <v>452</v>
      </c>
      <c r="B453" s="1" t="s">
        <v>732</v>
      </c>
      <c r="C453" t="s">
        <v>904</v>
      </c>
      <c r="D453">
        <v>2019</v>
      </c>
      <c r="E453" t="s">
        <v>922</v>
      </c>
      <c r="F453" t="s">
        <v>908</v>
      </c>
      <c r="G453" t="s">
        <v>912</v>
      </c>
      <c r="H453" t="s">
        <v>909</v>
      </c>
      <c r="I453" t="s">
        <v>917</v>
      </c>
      <c r="J453" s="2">
        <v>19.850847000000002</v>
      </c>
      <c r="K453" s="2">
        <v>23.547499999999999</v>
      </c>
      <c r="L453" s="2" t="str">
        <f t="shared" si="21"/>
        <v>20–25°C</v>
      </c>
      <c r="M453" s="3">
        <v>48.125</v>
      </c>
      <c r="N453" s="3" t="str">
        <f t="shared" si="22"/>
        <v>40–60%</v>
      </c>
      <c r="O453" s="2">
        <v>19.541957</v>
      </c>
      <c r="P453" s="2" t="str">
        <f t="shared" si="23"/>
        <v>15–20 km/h</v>
      </c>
      <c r="Q453" s="2">
        <v>674</v>
      </c>
      <c r="R453" s="2">
        <v>5024</v>
      </c>
      <c r="S453" s="2">
        <v>5698</v>
      </c>
    </row>
    <row r="454" spans="1:19" x14ac:dyDescent="0.3">
      <c r="A454" s="2">
        <v>453</v>
      </c>
      <c r="B454" s="1" t="s">
        <v>733</v>
      </c>
      <c r="C454" t="s">
        <v>904</v>
      </c>
      <c r="D454">
        <v>2019</v>
      </c>
      <c r="E454" t="s">
        <v>922</v>
      </c>
      <c r="F454" t="s">
        <v>908</v>
      </c>
      <c r="G454" t="s">
        <v>913</v>
      </c>
      <c r="H454" t="s">
        <v>909</v>
      </c>
      <c r="I454" t="s">
        <v>917</v>
      </c>
      <c r="J454" s="2">
        <v>20.260846999999998</v>
      </c>
      <c r="K454" s="2">
        <v>24.115200000000002</v>
      </c>
      <c r="L454" s="2" t="str">
        <f t="shared" si="21"/>
        <v>20–25°C</v>
      </c>
      <c r="M454" s="3">
        <v>43.916699999999999</v>
      </c>
      <c r="N454" s="3" t="str">
        <f t="shared" si="22"/>
        <v>40–60%</v>
      </c>
      <c r="O454" s="2">
        <v>21.416550000000001</v>
      </c>
      <c r="P454" s="2" t="str">
        <f t="shared" si="23"/>
        <v>20–25 km/h</v>
      </c>
      <c r="Q454" s="2">
        <v>834</v>
      </c>
      <c r="R454" s="2">
        <v>5299</v>
      </c>
      <c r="S454" s="2">
        <v>6133</v>
      </c>
    </row>
    <row r="455" spans="1:19" x14ac:dyDescent="0.3">
      <c r="A455" s="2">
        <v>454</v>
      </c>
      <c r="B455" s="1" t="s">
        <v>734</v>
      </c>
      <c r="C455" t="s">
        <v>904</v>
      </c>
      <c r="D455">
        <v>2019</v>
      </c>
      <c r="E455" t="s">
        <v>922</v>
      </c>
      <c r="F455" t="s">
        <v>908</v>
      </c>
      <c r="G455" t="s">
        <v>914</v>
      </c>
      <c r="H455" t="s">
        <v>909</v>
      </c>
      <c r="I455" t="s">
        <v>918</v>
      </c>
      <c r="J455" s="2">
        <v>15.17</v>
      </c>
      <c r="K455" s="2">
        <v>18.78105</v>
      </c>
      <c r="L455" s="2" t="str">
        <f t="shared" si="21"/>
        <v>15–20°C</v>
      </c>
      <c r="M455" s="3">
        <v>58.083300000000001</v>
      </c>
      <c r="N455" s="3" t="str">
        <f t="shared" si="22"/>
        <v>40–60%</v>
      </c>
      <c r="O455" s="2">
        <v>9.250489</v>
      </c>
      <c r="P455" s="2" t="str">
        <f t="shared" si="23"/>
        <v>5–10 km/h</v>
      </c>
      <c r="Q455" s="2">
        <v>796</v>
      </c>
      <c r="R455" s="2">
        <v>4663</v>
      </c>
      <c r="S455" s="2">
        <v>5459</v>
      </c>
    </row>
    <row r="456" spans="1:19" x14ac:dyDescent="0.3">
      <c r="A456" s="2">
        <v>455</v>
      </c>
      <c r="B456" s="1" t="s">
        <v>735</v>
      </c>
      <c r="C456" t="s">
        <v>904</v>
      </c>
      <c r="D456">
        <v>2019</v>
      </c>
      <c r="E456" t="s">
        <v>922</v>
      </c>
      <c r="F456" t="s">
        <v>908</v>
      </c>
      <c r="G456" t="s">
        <v>915</v>
      </c>
      <c r="H456" t="s">
        <v>908</v>
      </c>
      <c r="I456" t="s">
        <v>918</v>
      </c>
      <c r="J456" s="2">
        <v>17.390847000000001</v>
      </c>
      <c r="K456" s="2">
        <v>21.0854</v>
      </c>
      <c r="L456" s="2" t="str">
        <f t="shared" si="21"/>
        <v>20–25°C</v>
      </c>
      <c r="M456" s="3">
        <v>73.833299999999994</v>
      </c>
      <c r="N456" s="3" t="str">
        <f t="shared" si="22"/>
        <v>60–80%</v>
      </c>
      <c r="O456" s="2">
        <v>16.791339000000001</v>
      </c>
      <c r="P456" s="2" t="str">
        <f t="shared" si="23"/>
        <v>15–20 km/h</v>
      </c>
      <c r="Q456" s="2">
        <v>2301</v>
      </c>
      <c r="R456" s="2">
        <v>3934</v>
      </c>
      <c r="S456" s="2">
        <v>6235</v>
      </c>
    </row>
    <row r="457" spans="1:19" x14ac:dyDescent="0.3">
      <c r="A457" s="2">
        <v>456</v>
      </c>
      <c r="B457" s="1">
        <v>43469</v>
      </c>
      <c r="C457" t="s">
        <v>904</v>
      </c>
      <c r="D457">
        <v>2019</v>
      </c>
      <c r="E457" t="s">
        <v>923</v>
      </c>
      <c r="F457" t="s">
        <v>908</v>
      </c>
      <c r="G457" t="s">
        <v>916</v>
      </c>
      <c r="H457" t="s">
        <v>908</v>
      </c>
      <c r="I457" t="s">
        <v>918</v>
      </c>
      <c r="J457" s="2">
        <v>17.459153000000001</v>
      </c>
      <c r="K457" s="2">
        <v>20.864350000000002</v>
      </c>
      <c r="L457" s="2" t="str">
        <f t="shared" si="21"/>
        <v>20–25°C</v>
      </c>
      <c r="M457" s="3">
        <v>67.625</v>
      </c>
      <c r="N457" s="3" t="str">
        <f t="shared" si="22"/>
        <v>60–80%</v>
      </c>
      <c r="O457" s="2">
        <v>11.541888999999999</v>
      </c>
      <c r="P457" s="2" t="str">
        <f t="shared" si="23"/>
        <v>10–15 km/h</v>
      </c>
      <c r="Q457" s="2">
        <v>2347</v>
      </c>
      <c r="R457" s="2">
        <v>3694</v>
      </c>
      <c r="S457" s="2">
        <v>6041</v>
      </c>
    </row>
    <row r="458" spans="1:19" x14ac:dyDescent="0.3">
      <c r="A458" s="2">
        <v>457</v>
      </c>
      <c r="B458" s="1">
        <v>43500</v>
      </c>
      <c r="C458" t="s">
        <v>904</v>
      </c>
      <c r="D458">
        <v>2019</v>
      </c>
      <c r="E458" t="s">
        <v>923</v>
      </c>
      <c r="F458" t="s">
        <v>908</v>
      </c>
      <c r="G458" t="s">
        <v>910</v>
      </c>
      <c r="H458" t="s">
        <v>909</v>
      </c>
      <c r="I458" t="s">
        <v>917</v>
      </c>
      <c r="J458" s="2">
        <v>17.790433</v>
      </c>
      <c r="K458" s="2">
        <v>21.37565</v>
      </c>
      <c r="L458" s="2" t="str">
        <f t="shared" si="21"/>
        <v>20–25°C</v>
      </c>
      <c r="M458" s="3">
        <v>50.434800000000003</v>
      </c>
      <c r="N458" s="3" t="str">
        <f t="shared" si="22"/>
        <v>40–60%</v>
      </c>
      <c r="O458" s="2">
        <v>20.913312999999999</v>
      </c>
      <c r="P458" s="2" t="str">
        <f t="shared" si="23"/>
        <v>20–25 km/h</v>
      </c>
      <c r="Q458" s="2">
        <v>1208</v>
      </c>
      <c r="R458" s="2">
        <v>4728</v>
      </c>
      <c r="S458" s="2">
        <v>5936</v>
      </c>
    </row>
    <row r="459" spans="1:19" x14ac:dyDescent="0.3">
      <c r="A459" s="2">
        <v>458</v>
      </c>
      <c r="B459" s="1">
        <v>43528</v>
      </c>
      <c r="C459" t="s">
        <v>904</v>
      </c>
      <c r="D459">
        <v>2019</v>
      </c>
      <c r="E459" t="s">
        <v>923</v>
      </c>
      <c r="F459" t="s">
        <v>908</v>
      </c>
      <c r="G459" t="s">
        <v>911</v>
      </c>
      <c r="H459" t="s">
        <v>909</v>
      </c>
      <c r="I459" t="s">
        <v>917</v>
      </c>
      <c r="J459" s="2">
        <v>19.133347000000001</v>
      </c>
      <c r="K459" s="2">
        <v>23.074149999999999</v>
      </c>
      <c r="L459" s="2" t="str">
        <f t="shared" si="21"/>
        <v>20–25°C</v>
      </c>
      <c r="M459" s="3">
        <v>39.666699999999999</v>
      </c>
      <c r="N459" s="3" t="str">
        <f t="shared" si="22"/>
        <v>20–40%</v>
      </c>
      <c r="O459" s="2">
        <v>6.7089109999999996</v>
      </c>
      <c r="P459" s="2" t="str">
        <f t="shared" si="23"/>
        <v>5–10 km/h</v>
      </c>
      <c r="Q459" s="2">
        <v>1348</v>
      </c>
      <c r="R459" s="2">
        <v>5424</v>
      </c>
      <c r="S459" s="2">
        <v>6772</v>
      </c>
    </row>
    <row r="460" spans="1:19" x14ac:dyDescent="0.3">
      <c r="A460" s="2">
        <v>459</v>
      </c>
      <c r="B460" s="1">
        <v>43559</v>
      </c>
      <c r="C460" t="s">
        <v>904</v>
      </c>
      <c r="D460">
        <v>2019</v>
      </c>
      <c r="E460" t="s">
        <v>923</v>
      </c>
      <c r="F460" t="s">
        <v>908</v>
      </c>
      <c r="G460" t="s">
        <v>912</v>
      </c>
      <c r="H460" t="s">
        <v>909</v>
      </c>
      <c r="I460" t="s">
        <v>917</v>
      </c>
      <c r="J460" s="2">
        <v>22.208347</v>
      </c>
      <c r="K460" s="2">
        <v>26.672499999999999</v>
      </c>
      <c r="L460" s="2" t="str">
        <f t="shared" si="21"/>
        <v>25–30°C</v>
      </c>
      <c r="M460" s="3">
        <v>46.958300000000001</v>
      </c>
      <c r="N460" s="3" t="str">
        <f t="shared" si="22"/>
        <v>40–60%</v>
      </c>
      <c r="O460" s="2">
        <v>12.125325</v>
      </c>
      <c r="P460" s="2" t="str">
        <f t="shared" si="23"/>
        <v>10–15 km/h</v>
      </c>
      <c r="Q460" s="2">
        <v>1058</v>
      </c>
      <c r="R460" s="2">
        <v>5378</v>
      </c>
      <c r="S460" s="2">
        <v>6436</v>
      </c>
    </row>
    <row r="461" spans="1:19" x14ac:dyDescent="0.3">
      <c r="A461" s="2">
        <v>460</v>
      </c>
      <c r="B461" s="1">
        <v>43589</v>
      </c>
      <c r="C461" t="s">
        <v>904</v>
      </c>
      <c r="D461">
        <v>2019</v>
      </c>
      <c r="E461" t="s">
        <v>923</v>
      </c>
      <c r="F461" t="s">
        <v>908</v>
      </c>
      <c r="G461" t="s">
        <v>913</v>
      </c>
      <c r="H461" t="s">
        <v>909</v>
      </c>
      <c r="I461" t="s">
        <v>917</v>
      </c>
      <c r="J461" s="2">
        <v>17.835000000000001</v>
      </c>
      <c r="K461" s="2">
        <v>21.558150000000001</v>
      </c>
      <c r="L461" s="2" t="str">
        <f t="shared" si="21"/>
        <v>20–25°C</v>
      </c>
      <c r="M461" s="3">
        <v>37.416699999999999</v>
      </c>
      <c r="N461" s="3" t="str">
        <f t="shared" si="22"/>
        <v>20–40%</v>
      </c>
      <c r="O461" s="2">
        <v>14.708443000000001</v>
      </c>
      <c r="P461" s="2" t="str">
        <f t="shared" si="23"/>
        <v>10–15 km/h</v>
      </c>
      <c r="Q461" s="2">
        <v>1192</v>
      </c>
      <c r="R461" s="2">
        <v>5265</v>
      </c>
      <c r="S461" s="2">
        <v>6457</v>
      </c>
    </row>
    <row r="462" spans="1:19" x14ac:dyDescent="0.3">
      <c r="A462" s="2">
        <v>461</v>
      </c>
      <c r="B462" s="1">
        <v>43620</v>
      </c>
      <c r="C462" t="s">
        <v>904</v>
      </c>
      <c r="D462">
        <v>2019</v>
      </c>
      <c r="E462" t="s">
        <v>923</v>
      </c>
      <c r="F462" t="s">
        <v>908</v>
      </c>
      <c r="G462" t="s">
        <v>914</v>
      </c>
      <c r="H462" t="s">
        <v>909</v>
      </c>
      <c r="I462" t="s">
        <v>917</v>
      </c>
      <c r="J462" s="2">
        <v>16.536653000000001</v>
      </c>
      <c r="K462" s="2">
        <v>19.538350000000001</v>
      </c>
      <c r="L462" s="2" t="str">
        <f t="shared" si="21"/>
        <v>15–20°C</v>
      </c>
      <c r="M462" s="3">
        <v>37.708300000000001</v>
      </c>
      <c r="N462" s="3" t="str">
        <f t="shared" si="22"/>
        <v>20–40%</v>
      </c>
      <c r="O462" s="2">
        <v>20.125996000000001</v>
      </c>
      <c r="P462" s="2" t="str">
        <f t="shared" si="23"/>
        <v>20–25 km/h</v>
      </c>
      <c r="Q462" s="2">
        <v>1807</v>
      </c>
      <c r="R462" s="2">
        <v>4653</v>
      </c>
      <c r="S462" s="2">
        <v>6460</v>
      </c>
    </row>
    <row r="463" spans="1:19" x14ac:dyDescent="0.3">
      <c r="A463" s="2">
        <v>462</v>
      </c>
      <c r="B463" s="1">
        <v>43650</v>
      </c>
      <c r="C463" t="s">
        <v>904</v>
      </c>
      <c r="D463">
        <v>2019</v>
      </c>
      <c r="E463" t="s">
        <v>923</v>
      </c>
      <c r="F463" t="s">
        <v>908</v>
      </c>
      <c r="G463" t="s">
        <v>915</v>
      </c>
      <c r="H463" t="s">
        <v>908</v>
      </c>
      <c r="I463" t="s">
        <v>917</v>
      </c>
      <c r="J463" s="2">
        <v>17.9375</v>
      </c>
      <c r="K463" s="2">
        <v>21.306450000000002</v>
      </c>
      <c r="L463" s="2" t="str">
        <f t="shared" si="21"/>
        <v>20–25°C</v>
      </c>
      <c r="M463" s="3">
        <v>25.416699999999999</v>
      </c>
      <c r="N463" s="3" t="str">
        <f t="shared" si="22"/>
        <v>20–40%</v>
      </c>
      <c r="O463" s="2">
        <v>18.416357000000001</v>
      </c>
      <c r="P463" s="2" t="str">
        <f t="shared" si="23"/>
        <v>15–20 km/h</v>
      </c>
      <c r="Q463" s="2">
        <v>3252</v>
      </c>
      <c r="R463" s="2">
        <v>3605</v>
      </c>
      <c r="S463" s="2">
        <v>6857</v>
      </c>
    </row>
    <row r="464" spans="1:19" x14ac:dyDescent="0.3">
      <c r="A464" s="2">
        <v>463</v>
      </c>
      <c r="B464" s="1">
        <v>43681</v>
      </c>
      <c r="C464" t="s">
        <v>904</v>
      </c>
      <c r="D464">
        <v>2019</v>
      </c>
      <c r="E464" t="s">
        <v>923</v>
      </c>
      <c r="F464" t="s">
        <v>908</v>
      </c>
      <c r="G464" t="s">
        <v>916</v>
      </c>
      <c r="H464" t="s">
        <v>908</v>
      </c>
      <c r="I464" t="s">
        <v>917</v>
      </c>
      <c r="J464" s="2">
        <v>20.5</v>
      </c>
      <c r="K464" s="2">
        <v>24.62125</v>
      </c>
      <c r="L464" s="2" t="str">
        <f t="shared" si="21"/>
        <v>20–25°C</v>
      </c>
      <c r="M464" s="3">
        <v>27.583300000000001</v>
      </c>
      <c r="N464" s="3" t="str">
        <f t="shared" si="22"/>
        <v>20–40%</v>
      </c>
      <c r="O464" s="2">
        <v>15.583932000000001</v>
      </c>
      <c r="P464" s="2" t="str">
        <f t="shared" si="23"/>
        <v>15–20 km/h</v>
      </c>
      <c r="Q464" s="2">
        <v>2230</v>
      </c>
      <c r="R464" s="2">
        <v>2939</v>
      </c>
      <c r="S464" s="2">
        <v>5169</v>
      </c>
    </row>
    <row r="465" spans="1:19" x14ac:dyDescent="0.3">
      <c r="A465" s="2">
        <v>464</v>
      </c>
      <c r="B465" s="1">
        <v>43712</v>
      </c>
      <c r="C465" t="s">
        <v>904</v>
      </c>
      <c r="D465">
        <v>2019</v>
      </c>
      <c r="E465" t="s">
        <v>923</v>
      </c>
      <c r="F465" t="s">
        <v>908</v>
      </c>
      <c r="G465" t="s">
        <v>910</v>
      </c>
      <c r="H465" t="s">
        <v>909</v>
      </c>
      <c r="I465" t="s">
        <v>917</v>
      </c>
      <c r="J465" s="2">
        <v>20.055847</v>
      </c>
      <c r="K465" s="2">
        <v>23.831900000000001</v>
      </c>
      <c r="L465" s="2" t="str">
        <f t="shared" si="21"/>
        <v>20–25°C</v>
      </c>
      <c r="M465" s="3">
        <v>31.75</v>
      </c>
      <c r="N465" s="3" t="str">
        <f t="shared" si="22"/>
        <v>20–40%</v>
      </c>
      <c r="O465" s="2">
        <v>23.999131999999999</v>
      </c>
      <c r="P465" s="2" t="str">
        <f t="shared" si="23"/>
        <v>20–25 km/h</v>
      </c>
      <c r="Q465" s="2">
        <v>905</v>
      </c>
      <c r="R465" s="2">
        <v>4680</v>
      </c>
      <c r="S465" s="2">
        <v>5585</v>
      </c>
    </row>
    <row r="466" spans="1:19" x14ac:dyDescent="0.3">
      <c r="A466" s="2">
        <v>465</v>
      </c>
      <c r="B466" s="1">
        <v>43742</v>
      </c>
      <c r="C466" t="s">
        <v>904</v>
      </c>
      <c r="D466">
        <v>2019</v>
      </c>
      <c r="E466" t="s">
        <v>923</v>
      </c>
      <c r="F466" t="s">
        <v>908</v>
      </c>
      <c r="G466" t="s">
        <v>911</v>
      </c>
      <c r="H466" t="s">
        <v>909</v>
      </c>
      <c r="I466" t="s">
        <v>917</v>
      </c>
      <c r="J466" s="2">
        <v>18.313347</v>
      </c>
      <c r="K466" s="2">
        <v>21.81165</v>
      </c>
      <c r="L466" s="2" t="str">
        <f t="shared" si="21"/>
        <v>20–25°C</v>
      </c>
      <c r="M466" s="3">
        <v>43.5</v>
      </c>
      <c r="N466" s="3" t="str">
        <f t="shared" si="22"/>
        <v>40–60%</v>
      </c>
      <c r="O466" s="2">
        <v>16.708124999999999</v>
      </c>
      <c r="P466" s="2" t="str">
        <f t="shared" si="23"/>
        <v>15–20 km/h</v>
      </c>
      <c r="Q466" s="2">
        <v>819</v>
      </c>
      <c r="R466" s="2">
        <v>5099</v>
      </c>
      <c r="S466" s="2">
        <v>5918</v>
      </c>
    </row>
    <row r="467" spans="1:19" x14ac:dyDescent="0.3">
      <c r="A467" s="2">
        <v>466</v>
      </c>
      <c r="B467" s="1">
        <v>43773</v>
      </c>
      <c r="C467" t="s">
        <v>904</v>
      </c>
      <c r="D467">
        <v>2019</v>
      </c>
      <c r="E467" t="s">
        <v>923</v>
      </c>
      <c r="F467" t="s">
        <v>908</v>
      </c>
      <c r="G467" t="s">
        <v>912</v>
      </c>
      <c r="H467" t="s">
        <v>909</v>
      </c>
      <c r="I467" t="s">
        <v>917</v>
      </c>
      <c r="J467" s="2">
        <v>14.296536</v>
      </c>
      <c r="K467" s="2">
        <v>16.863700000000001</v>
      </c>
      <c r="L467" s="2" t="str">
        <f t="shared" si="21"/>
        <v>15–20°C</v>
      </c>
      <c r="M467" s="3">
        <v>46.956499999999998</v>
      </c>
      <c r="N467" s="3" t="str">
        <f t="shared" si="22"/>
        <v>40–60%</v>
      </c>
      <c r="O467" s="2">
        <v>19.783358</v>
      </c>
      <c r="P467" s="2" t="str">
        <f t="shared" si="23"/>
        <v>15–20 km/h</v>
      </c>
      <c r="Q467" s="2">
        <v>482</v>
      </c>
      <c r="R467" s="2">
        <v>4380</v>
      </c>
      <c r="S467" s="2">
        <v>4862</v>
      </c>
    </row>
    <row r="468" spans="1:19" x14ac:dyDescent="0.3">
      <c r="A468" s="2">
        <v>467</v>
      </c>
      <c r="B468" s="1">
        <v>43803</v>
      </c>
      <c r="C468" t="s">
        <v>904</v>
      </c>
      <c r="D468">
        <v>2019</v>
      </c>
      <c r="E468" t="s">
        <v>923</v>
      </c>
      <c r="F468" t="s">
        <v>908</v>
      </c>
      <c r="G468" t="s">
        <v>913</v>
      </c>
      <c r="H468" t="s">
        <v>909</v>
      </c>
      <c r="I468" t="s">
        <v>917</v>
      </c>
      <c r="J468" s="2">
        <v>16.297499999999999</v>
      </c>
      <c r="K468" s="2">
        <v>19.380199999999999</v>
      </c>
      <c r="L468" s="2" t="str">
        <f t="shared" si="21"/>
        <v>15–20°C</v>
      </c>
      <c r="M468" s="3">
        <v>46.625</v>
      </c>
      <c r="N468" s="3" t="str">
        <f t="shared" si="22"/>
        <v>40–60%</v>
      </c>
      <c r="O468" s="2">
        <v>19.458742999999998</v>
      </c>
      <c r="P468" s="2" t="str">
        <f t="shared" si="23"/>
        <v>15–20 km/h</v>
      </c>
      <c r="Q468" s="2">
        <v>663</v>
      </c>
      <c r="R468" s="2">
        <v>4746</v>
      </c>
      <c r="S468" s="2">
        <v>5409</v>
      </c>
    </row>
    <row r="469" spans="1:19" x14ac:dyDescent="0.3">
      <c r="A469" s="2">
        <v>468</v>
      </c>
      <c r="B469" s="1" t="s">
        <v>736</v>
      </c>
      <c r="C469" t="s">
        <v>904</v>
      </c>
      <c r="D469">
        <v>2019</v>
      </c>
      <c r="E469" t="s">
        <v>923</v>
      </c>
      <c r="F469" t="s">
        <v>908</v>
      </c>
      <c r="G469" t="s">
        <v>914</v>
      </c>
      <c r="H469" t="s">
        <v>909</v>
      </c>
      <c r="I469" t="s">
        <v>917</v>
      </c>
      <c r="J469" s="2">
        <v>18.142499999999998</v>
      </c>
      <c r="K469" s="2">
        <v>21.590399999999999</v>
      </c>
      <c r="L469" s="2" t="str">
        <f t="shared" si="21"/>
        <v>20–25°C</v>
      </c>
      <c r="M469" s="3">
        <v>40.833300000000001</v>
      </c>
      <c r="N469" s="3" t="str">
        <f t="shared" si="22"/>
        <v>40–60%</v>
      </c>
      <c r="O469" s="2">
        <v>10.416556999999999</v>
      </c>
      <c r="P469" s="2" t="str">
        <f t="shared" si="23"/>
        <v>10–15 km/h</v>
      </c>
      <c r="Q469" s="2">
        <v>1252</v>
      </c>
      <c r="R469" s="2">
        <v>5146</v>
      </c>
      <c r="S469" s="2">
        <v>6398</v>
      </c>
    </row>
    <row r="470" spans="1:19" x14ac:dyDescent="0.3">
      <c r="A470" s="2">
        <v>469</v>
      </c>
      <c r="B470" s="1" t="s">
        <v>737</v>
      </c>
      <c r="C470" t="s">
        <v>904</v>
      </c>
      <c r="D470">
        <v>2019</v>
      </c>
      <c r="E470" t="s">
        <v>923</v>
      </c>
      <c r="F470" t="s">
        <v>908</v>
      </c>
      <c r="G470" t="s">
        <v>915</v>
      </c>
      <c r="H470" t="s">
        <v>908</v>
      </c>
      <c r="I470" t="s">
        <v>917</v>
      </c>
      <c r="J470" s="2">
        <v>20.295000000000002</v>
      </c>
      <c r="K470" s="2">
        <v>24.399799999999999</v>
      </c>
      <c r="L470" s="2" t="str">
        <f t="shared" si="21"/>
        <v>20–25°C</v>
      </c>
      <c r="M470" s="3">
        <v>50.291699999999999</v>
      </c>
      <c r="N470" s="3" t="str">
        <f t="shared" si="22"/>
        <v>40–60%</v>
      </c>
      <c r="O470" s="2">
        <v>12.791439</v>
      </c>
      <c r="P470" s="2" t="str">
        <f t="shared" si="23"/>
        <v>10–15 km/h</v>
      </c>
      <c r="Q470" s="2">
        <v>2795</v>
      </c>
      <c r="R470" s="2">
        <v>4665</v>
      </c>
      <c r="S470" s="2">
        <v>7460</v>
      </c>
    </row>
    <row r="471" spans="1:19" x14ac:dyDescent="0.3">
      <c r="A471" s="2">
        <v>470</v>
      </c>
      <c r="B471" s="1" t="s">
        <v>738</v>
      </c>
      <c r="C471" t="s">
        <v>904</v>
      </c>
      <c r="D471">
        <v>2019</v>
      </c>
      <c r="E471" t="s">
        <v>923</v>
      </c>
      <c r="F471" t="s">
        <v>908</v>
      </c>
      <c r="G471" t="s">
        <v>916</v>
      </c>
      <c r="H471" t="s">
        <v>908</v>
      </c>
      <c r="I471" t="s">
        <v>917</v>
      </c>
      <c r="J471" s="2">
        <v>24.873346999999999</v>
      </c>
      <c r="K471" s="2">
        <v>28.693750000000001</v>
      </c>
      <c r="L471" s="2" t="str">
        <f t="shared" si="21"/>
        <v>25–30°C</v>
      </c>
      <c r="M471" s="3">
        <v>50.791699999999999</v>
      </c>
      <c r="N471" s="3" t="str">
        <f t="shared" si="22"/>
        <v>40–60%</v>
      </c>
      <c r="O471" s="2">
        <v>15.083643</v>
      </c>
      <c r="P471" s="2" t="str">
        <f t="shared" si="23"/>
        <v>15–20 km/h</v>
      </c>
      <c r="Q471" s="2">
        <v>2846</v>
      </c>
      <c r="R471" s="2">
        <v>4286</v>
      </c>
      <c r="S471" s="2">
        <v>7132</v>
      </c>
    </row>
    <row r="472" spans="1:19" x14ac:dyDescent="0.3">
      <c r="A472" s="2">
        <v>471</v>
      </c>
      <c r="B472" s="1" t="s">
        <v>739</v>
      </c>
      <c r="C472" t="s">
        <v>904</v>
      </c>
      <c r="D472">
        <v>2019</v>
      </c>
      <c r="E472" t="s">
        <v>923</v>
      </c>
      <c r="F472" t="s">
        <v>909</v>
      </c>
      <c r="G472" t="s">
        <v>910</v>
      </c>
      <c r="H472" t="s">
        <v>908</v>
      </c>
      <c r="I472" t="s">
        <v>917</v>
      </c>
      <c r="J472" s="2">
        <v>27.230847000000001</v>
      </c>
      <c r="K472" s="2">
        <v>30.74625</v>
      </c>
      <c r="L472" s="2" t="str">
        <f t="shared" si="21"/>
        <v>30–35°C</v>
      </c>
      <c r="M472" s="3">
        <v>56.166699999999999</v>
      </c>
      <c r="N472" s="3" t="str">
        <f t="shared" si="22"/>
        <v>40–60%</v>
      </c>
      <c r="O472" s="2">
        <v>19.083542999999999</v>
      </c>
      <c r="P472" s="2" t="str">
        <f t="shared" si="23"/>
        <v>15–20 km/h</v>
      </c>
      <c r="Q472" s="2">
        <v>1198</v>
      </c>
      <c r="R472" s="2">
        <v>5172</v>
      </c>
      <c r="S472" s="2">
        <v>6370</v>
      </c>
    </row>
    <row r="473" spans="1:19" x14ac:dyDescent="0.3">
      <c r="A473" s="2">
        <v>472</v>
      </c>
      <c r="B473" s="1" t="s">
        <v>740</v>
      </c>
      <c r="C473" t="s">
        <v>904</v>
      </c>
      <c r="D473">
        <v>2019</v>
      </c>
      <c r="E473" t="s">
        <v>923</v>
      </c>
      <c r="F473" t="s">
        <v>908</v>
      </c>
      <c r="G473" t="s">
        <v>911</v>
      </c>
      <c r="H473" t="s">
        <v>909</v>
      </c>
      <c r="I473" t="s">
        <v>917</v>
      </c>
      <c r="J473" s="2">
        <v>24.941652999999999</v>
      </c>
      <c r="K473" s="2">
        <v>29.92435</v>
      </c>
      <c r="L473" s="2" t="str">
        <f t="shared" si="21"/>
        <v>25–30°C</v>
      </c>
      <c r="M473" s="3">
        <v>39.041699999999999</v>
      </c>
      <c r="N473" s="3" t="str">
        <f t="shared" si="22"/>
        <v>20–40%</v>
      </c>
      <c r="O473" s="2">
        <v>18.333143</v>
      </c>
      <c r="P473" s="2" t="str">
        <f t="shared" si="23"/>
        <v>15–20 km/h</v>
      </c>
      <c r="Q473" s="2">
        <v>989</v>
      </c>
      <c r="R473" s="2">
        <v>5702</v>
      </c>
      <c r="S473" s="2">
        <v>6691</v>
      </c>
    </row>
    <row r="474" spans="1:19" x14ac:dyDescent="0.3">
      <c r="A474" s="2">
        <v>473</v>
      </c>
      <c r="B474" s="1" t="s">
        <v>741</v>
      </c>
      <c r="C474" t="s">
        <v>904</v>
      </c>
      <c r="D474">
        <v>2019</v>
      </c>
      <c r="E474" t="s">
        <v>923</v>
      </c>
      <c r="F474" t="s">
        <v>908</v>
      </c>
      <c r="G474" t="s">
        <v>912</v>
      </c>
      <c r="H474" t="s">
        <v>909</v>
      </c>
      <c r="I474" t="s">
        <v>918</v>
      </c>
      <c r="J474" s="2">
        <v>18.996652999999998</v>
      </c>
      <c r="K474" s="2">
        <v>22.851900000000001</v>
      </c>
      <c r="L474" s="2" t="str">
        <f t="shared" si="21"/>
        <v>20–25°C</v>
      </c>
      <c r="M474" s="3">
        <v>56.916699999999999</v>
      </c>
      <c r="N474" s="3" t="str">
        <f t="shared" si="22"/>
        <v>40–60%</v>
      </c>
      <c r="O474" s="2">
        <v>11.250104</v>
      </c>
      <c r="P474" s="2" t="str">
        <f t="shared" si="23"/>
        <v>10–15 km/h</v>
      </c>
      <c r="Q474" s="2">
        <v>347</v>
      </c>
      <c r="R474" s="2">
        <v>4020</v>
      </c>
      <c r="S474" s="2">
        <v>4367</v>
      </c>
    </row>
    <row r="475" spans="1:19" x14ac:dyDescent="0.3">
      <c r="A475" s="2">
        <v>474</v>
      </c>
      <c r="B475" s="1" t="s">
        <v>742</v>
      </c>
      <c r="C475" t="s">
        <v>904</v>
      </c>
      <c r="D475">
        <v>2019</v>
      </c>
      <c r="E475" t="s">
        <v>923</v>
      </c>
      <c r="F475" t="s">
        <v>908</v>
      </c>
      <c r="G475" t="s">
        <v>913</v>
      </c>
      <c r="H475" t="s">
        <v>909</v>
      </c>
      <c r="I475" t="s">
        <v>917</v>
      </c>
      <c r="J475" s="2">
        <v>20.431653000000001</v>
      </c>
      <c r="K475" s="2">
        <v>24.6523</v>
      </c>
      <c r="L475" s="2" t="str">
        <f t="shared" si="21"/>
        <v>20–25°C</v>
      </c>
      <c r="M475" s="3">
        <v>61.25</v>
      </c>
      <c r="N475" s="3" t="str">
        <f t="shared" si="22"/>
        <v>60–80%</v>
      </c>
      <c r="O475" s="2">
        <v>4.4172564000000003</v>
      </c>
      <c r="P475" s="2" t="str">
        <f t="shared" si="23"/>
        <v>0–5 km/h</v>
      </c>
      <c r="Q475" s="2">
        <v>846</v>
      </c>
      <c r="R475" s="2">
        <v>5719</v>
      </c>
      <c r="S475" s="2">
        <v>6565</v>
      </c>
    </row>
    <row r="476" spans="1:19" x14ac:dyDescent="0.3">
      <c r="A476" s="2">
        <v>475</v>
      </c>
      <c r="B476" s="1" t="s">
        <v>743</v>
      </c>
      <c r="C476" t="s">
        <v>904</v>
      </c>
      <c r="D476">
        <v>2019</v>
      </c>
      <c r="E476" t="s">
        <v>923</v>
      </c>
      <c r="F476" t="s">
        <v>908</v>
      </c>
      <c r="G476" t="s">
        <v>914</v>
      </c>
      <c r="H476" t="s">
        <v>909</v>
      </c>
      <c r="I476" t="s">
        <v>917</v>
      </c>
      <c r="J476" s="2">
        <v>21.593347000000001</v>
      </c>
      <c r="K476" s="2">
        <v>25.78875</v>
      </c>
      <c r="L476" s="2" t="str">
        <f t="shared" si="21"/>
        <v>25–30°C</v>
      </c>
      <c r="M476" s="3">
        <v>69.458299999999994</v>
      </c>
      <c r="N476" s="3" t="str">
        <f t="shared" si="22"/>
        <v>60–80%</v>
      </c>
      <c r="O476" s="2">
        <v>10.041357</v>
      </c>
      <c r="P476" s="2" t="str">
        <f t="shared" si="23"/>
        <v>10–15 km/h</v>
      </c>
      <c r="Q476" s="2">
        <v>1340</v>
      </c>
      <c r="R476" s="2">
        <v>5950</v>
      </c>
      <c r="S476" s="2">
        <v>7290</v>
      </c>
    </row>
    <row r="477" spans="1:19" x14ac:dyDescent="0.3">
      <c r="A477" s="2">
        <v>476</v>
      </c>
      <c r="B477" s="1" t="s">
        <v>744</v>
      </c>
      <c r="C477" t="s">
        <v>904</v>
      </c>
      <c r="D477">
        <v>2019</v>
      </c>
      <c r="E477" t="s">
        <v>923</v>
      </c>
      <c r="F477" t="s">
        <v>908</v>
      </c>
      <c r="G477" t="s">
        <v>915</v>
      </c>
      <c r="H477" t="s">
        <v>908</v>
      </c>
      <c r="I477" t="s">
        <v>917</v>
      </c>
      <c r="J477" s="2">
        <v>23.37</v>
      </c>
      <c r="K477" s="2">
        <v>27.146049999999999</v>
      </c>
      <c r="L477" s="2" t="str">
        <f t="shared" si="21"/>
        <v>25–30°C</v>
      </c>
      <c r="M477" s="3">
        <v>68.291700000000006</v>
      </c>
      <c r="N477" s="3" t="str">
        <f t="shared" si="22"/>
        <v>60–80%</v>
      </c>
      <c r="O477" s="2">
        <v>19.000329000000001</v>
      </c>
      <c r="P477" s="2" t="str">
        <f t="shared" si="23"/>
        <v>15–20 km/h</v>
      </c>
      <c r="Q477" s="2">
        <v>2541</v>
      </c>
      <c r="R477" s="2">
        <v>4083</v>
      </c>
      <c r="S477" s="2">
        <v>6624</v>
      </c>
    </row>
    <row r="478" spans="1:19" x14ac:dyDescent="0.3">
      <c r="A478" s="2">
        <v>477</v>
      </c>
      <c r="B478" s="1" t="s">
        <v>745</v>
      </c>
      <c r="C478" t="s">
        <v>904</v>
      </c>
      <c r="D478">
        <v>2019</v>
      </c>
      <c r="E478" t="s">
        <v>923</v>
      </c>
      <c r="F478" t="s">
        <v>908</v>
      </c>
      <c r="G478" t="s">
        <v>916</v>
      </c>
      <c r="H478" t="s">
        <v>908</v>
      </c>
      <c r="I478" t="s">
        <v>919</v>
      </c>
      <c r="J478" s="2">
        <v>16.263347</v>
      </c>
      <c r="K478" s="2">
        <v>19.475200000000001</v>
      </c>
      <c r="L478" s="2" t="str">
        <f t="shared" si="21"/>
        <v>15–20°C</v>
      </c>
      <c r="M478" s="3">
        <v>83.541700000000006</v>
      </c>
      <c r="N478" s="3" t="str">
        <f t="shared" si="22"/>
        <v>80–100%</v>
      </c>
      <c r="O478" s="2">
        <v>23.084582000000001</v>
      </c>
      <c r="P478" s="2" t="str">
        <f t="shared" si="23"/>
        <v>20–25 km/h</v>
      </c>
      <c r="Q478" s="2">
        <v>120</v>
      </c>
      <c r="R478" s="2">
        <v>907</v>
      </c>
      <c r="S478" s="2">
        <v>1027</v>
      </c>
    </row>
    <row r="479" spans="1:19" x14ac:dyDescent="0.3">
      <c r="A479" s="2">
        <v>478</v>
      </c>
      <c r="B479" s="1" t="s">
        <v>746</v>
      </c>
      <c r="C479" t="s">
        <v>904</v>
      </c>
      <c r="D479">
        <v>2019</v>
      </c>
      <c r="E479" t="s">
        <v>923</v>
      </c>
      <c r="F479" t="s">
        <v>908</v>
      </c>
      <c r="G479" t="s">
        <v>910</v>
      </c>
      <c r="H479" t="s">
        <v>909</v>
      </c>
      <c r="I479" t="s">
        <v>918</v>
      </c>
      <c r="J479" s="2">
        <v>13.188347</v>
      </c>
      <c r="K479" s="2">
        <v>15.05625</v>
      </c>
      <c r="L479" s="2" t="str">
        <f t="shared" si="21"/>
        <v>15–20°C</v>
      </c>
      <c r="M479" s="3">
        <v>76.666700000000006</v>
      </c>
      <c r="N479" s="3" t="str">
        <f t="shared" si="22"/>
        <v>60–80%</v>
      </c>
      <c r="O479" s="2">
        <v>20.334232</v>
      </c>
      <c r="P479" s="2" t="str">
        <f t="shared" si="23"/>
        <v>20–25 km/h</v>
      </c>
      <c r="Q479" s="2">
        <v>195</v>
      </c>
      <c r="R479" s="2">
        <v>3019</v>
      </c>
      <c r="S479" s="2">
        <v>3214</v>
      </c>
    </row>
    <row r="480" spans="1:19" x14ac:dyDescent="0.3">
      <c r="A480" s="2">
        <v>479</v>
      </c>
      <c r="B480" s="1" t="s">
        <v>747</v>
      </c>
      <c r="C480" t="s">
        <v>904</v>
      </c>
      <c r="D480">
        <v>2019</v>
      </c>
      <c r="E480" t="s">
        <v>923</v>
      </c>
      <c r="F480" t="s">
        <v>908</v>
      </c>
      <c r="G480" t="s">
        <v>911</v>
      </c>
      <c r="H480" t="s">
        <v>909</v>
      </c>
      <c r="I480" t="s">
        <v>917</v>
      </c>
      <c r="J480" s="2">
        <v>16.946653000000001</v>
      </c>
      <c r="K480" s="2">
        <v>20.264150000000001</v>
      </c>
      <c r="L480" s="2" t="str">
        <f t="shared" si="21"/>
        <v>20–25°C</v>
      </c>
      <c r="M480" s="3">
        <v>45.416699999999999</v>
      </c>
      <c r="N480" s="3" t="str">
        <f t="shared" si="22"/>
        <v>40–60%</v>
      </c>
      <c r="O480" s="2">
        <v>16.708660999999999</v>
      </c>
      <c r="P480" s="2" t="str">
        <f t="shared" si="23"/>
        <v>15–20 km/h</v>
      </c>
      <c r="Q480" s="2">
        <v>518</v>
      </c>
      <c r="R480" s="2">
        <v>5115</v>
      </c>
      <c r="S480" s="2">
        <v>5633</v>
      </c>
    </row>
    <row r="481" spans="1:19" x14ac:dyDescent="0.3">
      <c r="A481" s="2">
        <v>480</v>
      </c>
      <c r="B481" s="1" t="s">
        <v>748</v>
      </c>
      <c r="C481" t="s">
        <v>904</v>
      </c>
      <c r="D481">
        <v>2019</v>
      </c>
      <c r="E481" t="s">
        <v>923</v>
      </c>
      <c r="F481" t="s">
        <v>908</v>
      </c>
      <c r="G481" t="s">
        <v>912</v>
      </c>
      <c r="H481" t="s">
        <v>909</v>
      </c>
      <c r="I481" t="s">
        <v>917</v>
      </c>
      <c r="J481" s="2">
        <v>19.543347000000001</v>
      </c>
      <c r="K481" s="2">
        <v>23.51585</v>
      </c>
      <c r="L481" s="2" t="str">
        <f t="shared" si="21"/>
        <v>20–25°C</v>
      </c>
      <c r="M481" s="3">
        <v>42.791699999999999</v>
      </c>
      <c r="N481" s="3" t="str">
        <f t="shared" si="22"/>
        <v>40–60%</v>
      </c>
      <c r="O481" s="2">
        <v>7.9590639999999997</v>
      </c>
      <c r="P481" s="2" t="str">
        <f t="shared" si="23"/>
        <v>5–10 km/h</v>
      </c>
      <c r="Q481" s="2">
        <v>655</v>
      </c>
      <c r="R481" s="2">
        <v>5541</v>
      </c>
      <c r="S481" s="2">
        <v>6196</v>
      </c>
    </row>
    <row r="482" spans="1:19" x14ac:dyDescent="0.3">
      <c r="A482" s="2">
        <v>481</v>
      </c>
      <c r="B482" s="1" t="s">
        <v>749</v>
      </c>
      <c r="C482" t="s">
        <v>904</v>
      </c>
      <c r="D482">
        <v>2019</v>
      </c>
      <c r="E482" t="s">
        <v>923</v>
      </c>
      <c r="F482" t="s">
        <v>908</v>
      </c>
      <c r="G482" t="s">
        <v>913</v>
      </c>
      <c r="H482" t="s">
        <v>909</v>
      </c>
      <c r="I482" t="s">
        <v>918</v>
      </c>
      <c r="J482" s="2">
        <v>20.431653000000001</v>
      </c>
      <c r="K482" s="2">
        <v>24.17915</v>
      </c>
      <c r="L482" s="2" t="str">
        <f t="shared" si="21"/>
        <v>20–25°C</v>
      </c>
      <c r="M482" s="3">
        <v>75.666700000000006</v>
      </c>
      <c r="N482" s="3" t="str">
        <f t="shared" si="22"/>
        <v>60–80%</v>
      </c>
      <c r="O482" s="2">
        <v>11.833875000000001</v>
      </c>
      <c r="P482" s="2" t="str">
        <f t="shared" si="23"/>
        <v>10–15 km/h</v>
      </c>
      <c r="Q482" s="2">
        <v>475</v>
      </c>
      <c r="R482" s="2">
        <v>4551</v>
      </c>
      <c r="S482" s="2">
        <v>5026</v>
      </c>
    </row>
    <row r="483" spans="1:19" x14ac:dyDescent="0.3">
      <c r="A483" s="2">
        <v>482</v>
      </c>
      <c r="B483" s="1" t="s">
        <v>750</v>
      </c>
      <c r="C483" t="s">
        <v>904</v>
      </c>
      <c r="D483">
        <v>2019</v>
      </c>
      <c r="E483" t="s">
        <v>923</v>
      </c>
      <c r="F483" t="s">
        <v>908</v>
      </c>
      <c r="G483" t="s">
        <v>914</v>
      </c>
      <c r="H483" t="s">
        <v>909</v>
      </c>
      <c r="I483" t="s">
        <v>917</v>
      </c>
      <c r="J483" s="2">
        <v>18.7575</v>
      </c>
      <c r="K483" s="2">
        <v>22.63185</v>
      </c>
      <c r="L483" s="2" t="str">
        <f t="shared" si="21"/>
        <v>20–25°C</v>
      </c>
      <c r="M483" s="3">
        <v>40.083300000000001</v>
      </c>
      <c r="N483" s="3" t="str">
        <f t="shared" si="22"/>
        <v>40–60%</v>
      </c>
      <c r="O483" s="2">
        <v>23.291411</v>
      </c>
      <c r="P483" s="2" t="str">
        <f t="shared" si="23"/>
        <v>20–25 km/h</v>
      </c>
      <c r="Q483" s="2">
        <v>1014</v>
      </c>
      <c r="R483" s="2">
        <v>5219</v>
      </c>
      <c r="S483" s="2">
        <v>6233</v>
      </c>
    </row>
    <row r="484" spans="1:19" x14ac:dyDescent="0.3">
      <c r="A484" s="2">
        <v>483</v>
      </c>
      <c r="B484" s="1" t="s">
        <v>751</v>
      </c>
      <c r="C484" t="s">
        <v>904</v>
      </c>
      <c r="D484">
        <v>2019</v>
      </c>
      <c r="E484" t="s">
        <v>923</v>
      </c>
      <c r="F484" t="s">
        <v>908</v>
      </c>
      <c r="G484" t="s">
        <v>915</v>
      </c>
      <c r="H484" t="s">
        <v>908</v>
      </c>
      <c r="I484" t="s">
        <v>918</v>
      </c>
      <c r="J484" s="2">
        <v>15.443346999999999</v>
      </c>
      <c r="K484" s="2">
        <v>18.8752</v>
      </c>
      <c r="L484" s="2" t="str">
        <f t="shared" si="21"/>
        <v>15–20°C</v>
      </c>
      <c r="M484" s="3">
        <v>48.958300000000001</v>
      </c>
      <c r="N484" s="3" t="str">
        <f t="shared" si="22"/>
        <v>40–60%</v>
      </c>
      <c r="O484" s="2">
        <v>8.7083250000000003</v>
      </c>
      <c r="P484" s="2" t="str">
        <f t="shared" si="23"/>
        <v>5–10 km/h</v>
      </c>
      <c r="Q484" s="2">
        <v>1120</v>
      </c>
      <c r="R484" s="2">
        <v>3100</v>
      </c>
      <c r="S484" s="2">
        <v>4220</v>
      </c>
    </row>
    <row r="485" spans="1:19" x14ac:dyDescent="0.3">
      <c r="A485" s="2">
        <v>484</v>
      </c>
      <c r="B485" s="1" t="s">
        <v>752</v>
      </c>
      <c r="C485" t="s">
        <v>904</v>
      </c>
      <c r="D485">
        <v>2019</v>
      </c>
      <c r="E485" t="s">
        <v>923</v>
      </c>
      <c r="F485" t="s">
        <v>908</v>
      </c>
      <c r="G485" t="s">
        <v>916</v>
      </c>
      <c r="H485" t="s">
        <v>908</v>
      </c>
      <c r="I485" t="s">
        <v>917</v>
      </c>
      <c r="J485" s="2">
        <v>18.791653</v>
      </c>
      <c r="K485" s="2">
        <v>22.506049999999998</v>
      </c>
      <c r="L485" s="2" t="str">
        <f t="shared" si="21"/>
        <v>20–25°C</v>
      </c>
      <c r="M485" s="3">
        <v>58.708300000000001</v>
      </c>
      <c r="N485" s="3" t="str">
        <f t="shared" si="22"/>
        <v>40–60%</v>
      </c>
      <c r="O485" s="2">
        <v>7.8328360000000004</v>
      </c>
      <c r="P485" s="2" t="str">
        <f t="shared" si="23"/>
        <v>5–10 km/h</v>
      </c>
      <c r="Q485" s="2">
        <v>2229</v>
      </c>
      <c r="R485" s="2">
        <v>4075</v>
      </c>
      <c r="S485" s="2">
        <v>6304</v>
      </c>
    </row>
    <row r="486" spans="1:19" x14ac:dyDescent="0.3">
      <c r="A486" s="2">
        <v>485</v>
      </c>
      <c r="B486" s="1" t="s">
        <v>753</v>
      </c>
      <c r="C486" t="s">
        <v>904</v>
      </c>
      <c r="D486">
        <v>2019</v>
      </c>
      <c r="E486" t="s">
        <v>923</v>
      </c>
      <c r="F486" t="s">
        <v>908</v>
      </c>
      <c r="G486" t="s">
        <v>910</v>
      </c>
      <c r="H486" t="s">
        <v>909</v>
      </c>
      <c r="I486" t="s">
        <v>918</v>
      </c>
      <c r="J486" s="2">
        <v>19.030847000000001</v>
      </c>
      <c r="K486" s="2">
        <v>22.884799999999998</v>
      </c>
      <c r="L486" s="2" t="str">
        <f t="shared" si="21"/>
        <v>20–25°C</v>
      </c>
      <c r="M486" s="3">
        <v>57</v>
      </c>
      <c r="N486" s="3" t="str">
        <f t="shared" si="22"/>
        <v>40–60%</v>
      </c>
      <c r="O486" s="2">
        <v>11.499746</v>
      </c>
      <c r="P486" s="2" t="str">
        <f t="shared" si="23"/>
        <v>10–15 km/h</v>
      </c>
      <c r="Q486" s="2">
        <v>665</v>
      </c>
      <c r="R486" s="2">
        <v>4907</v>
      </c>
      <c r="S486" s="2">
        <v>5572</v>
      </c>
    </row>
    <row r="487" spans="1:19" x14ac:dyDescent="0.3">
      <c r="A487" s="2">
        <v>486</v>
      </c>
      <c r="B487" s="1">
        <v>43470</v>
      </c>
      <c r="C487" t="s">
        <v>904</v>
      </c>
      <c r="D487">
        <v>2019</v>
      </c>
      <c r="E487" t="s">
        <v>924</v>
      </c>
      <c r="F487" t="s">
        <v>908</v>
      </c>
      <c r="G487" t="s">
        <v>911</v>
      </c>
      <c r="H487" t="s">
        <v>909</v>
      </c>
      <c r="I487" t="s">
        <v>918</v>
      </c>
      <c r="J487" s="2">
        <v>25.146653000000001</v>
      </c>
      <c r="K487" s="2">
        <v>28.851050000000001</v>
      </c>
      <c r="L487" s="2" t="str">
        <f t="shared" si="21"/>
        <v>25–30°C</v>
      </c>
      <c r="M487" s="3">
        <v>65.958299999999994</v>
      </c>
      <c r="N487" s="3" t="str">
        <f t="shared" si="22"/>
        <v>60–80%</v>
      </c>
      <c r="O487" s="2">
        <v>10.458432</v>
      </c>
      <c r="P487" s="2" t="str">
        <f t="shared" si="23"/>
        <v>10–15 km/h</v>
      </c>
      <c r="Q487" s="2">
        <v>653</v>
      </c>
      <c r="R487" s="2">
        <v>5087</v>
      </c>
      <c r="S487" s="2">
        <v>5740</v>
      </c>
    </row>
    <row r="488" spans="1:19" x14ac:dyDescent="0.3">
      <c r="A488" s="2">
        <v>487</v>
      </c>
      <c r="B488" s="1">
        <v>43501</v>
      </c>
      <c r="C488" t="s">
        <v>904</v>
      </c>
      <c r="D488">
        <v>2019</v>
      </c>
      <c r="E488" t="s">
        <v>924</v>
      </c>
      <c r="F488" t="s">
        <v>908</v>
      </c>
      <c r="G488" t="s">
        <v>912</v>
      </c>
      <c r="H488" t="s">
        <v>909</v>
      </c>
      <c r="I488" t="s">
        <v>917</v>
      </c>
      <c r="J488" s="2">
        <v>23.130846999999999</v>
      </c>
      <c r="K488" s="2">
        <v>26.8948</v>
      </c>
      <c r="L488" s="2" t="str">
        <f t="shared" si="21"/>
        <v>25–30°C</v>
      </c>
      <c r="M488" s="3">
        <v>79.708299999999994</v>
      </c>
      <c r="N488" s="3" t="str">
        <f t="shared" si="22"/>
        <v>60–80%</v>
      </c>
      <c r="O488" s="2">
        <v>9.2498860000000001</v>
      </c>
      <c r="P488" s="2" t="str">
        <f t="shared" si="23"/>
        <v>5–10 km/h</v>
      </c>
      <c r="Q488" s="2">
        <v>667</v>
      </c>
      <c r="R488" s="2">
        <v>5502</v>
      </c>
      <c r="S488" s="2">
        <v>6169</v>
      </c>
    </row>
    <row r="489" spans="1:19" x14ac:dyDescent="0.3">
      <c r="A489" s="2">
        <v>488</v>
      </c>
      <c r="B489" s="1">
        <v>43529</v>
      </c>
      <c r="C489" t="s">
        <v>904</v>
      </c>
      <c r="D489">
        <v>2019</v>
      </c>
      <c r="E489" t="s">
        <v>924</v>
      </c>
      <c r="F489" t="s">
        <v>908</v>
      </c>
      <c r="G489" t="s">
        <v>913</v>
      </c>
      <c r="H489" t="s">
        <v>909</v>
      </c>
      <c r="I489" t="s">
        <v>918</v>
      </c>
      <c r="J489" s="2">
        <v>22.96</v>
      </c>
      <c r="K489" s="2">
        <v>26.862100000000002</v>
      </c>
      <c r="L489" s="2" t="str">
        <f t="shared" si="21"/>
        <v>25–30°C</v>
      </c>
      <c r="M489" s="3">
        <v>76.833299999999994</v>
      </c>
      <c r="N489" s="3" t="str">
        <f t="shared" si="22"/>
        <v>60–80%</v>
      </c>
      <c r="O489" s="2">
        <v>8.9576320000000003</v>
      </c>
      <c r="P489" s="2" t="str">
        <f t="shared" si="23"/>
        <v>5–10 km/h</v>
      </c>
      <c r="Q489" s="2">
        <v>764</v>
      </c>
      <c r="R489" s="2">
        <v>5657</v>
      </c>
      <c r="S489" s="2">
        <v>6421</v>
      </c>
    </row>
    <row r="490" spans="1:19" x14ac:dyDescent="0.3">
      <c r="A490" s="2">
        <v>489</v>
      </c>
      <c r="B490" s="1">
        <v>43560</v>
      </c>
      <c r="C490" t="s">
        <v>904</v>
      </c>
      <c r="D490">
        <v>2019</v>
      </c>
      <c r="E490" t="s">
        <v>924</v>
      </c>
      <c r="F490" t="s">
        <v>908</v>
      </c>
      <c r="G490" t="s">
        <v>914</v>
      </c>
      <c r="H490" t="s">
        <v>909</v>
      </c>
      <c r="I490" t="s">
        <v>917</v>
      </c>
      <c r="J490" s="2">
        <v>25.727499999999999</v>
      </c>
      <c r="K490" s="2">
        <v>29.545850000000002</v>
      </c>
      <c r="L490" s="2" t="str">
        <f t="shared" si="21"/>
        <v>25–30°C</v>
      </c>
      <c r="M490" s="3">
        <v>73.541700000000006</v>
      </c>
      <c r="N490" s="3" t="str">
        <f t="shared" si="22"/>
        <v>60–80%</v>
      </c>
      <c r="O490" s="2">
        <v>10.916846</v>
      </c>
      <c r="P490" s="2" t="str">
        <f t="shared" si="23"/>
        <v>10–15 km/h</v>
      </c>
      <c r="Q490" s="2">
        <v>1069</v>
      </c>
      <c r="R490" s="2">
        <v>5227</v>
      </c>
      <c r="S490" s="2">
        <v>6296</v>
      </c>
    </row>
    <row r="491" spans="1:19" x14ac:dyDescent="0.3">
      <c r="A491" s="2">
        <v>490</v>
      </c>
      <c r="B491" s="1">
        <v>43590</v>
      </c>
      <c r="C491" t="s">
        <v>904</v>
      </c>
      <c r="D491">
        <v>2019</v>
      </c>
      <c r="E491" t="s">
        <v>924</v>
      </c>
      <c r="F491" t="s">
        <v>908</v>
      </c>
      <c r="G491" t="s">
        <v>915</v>
      </c>
      <c r="H491" t="s">
        <v>908</v>
      </c>
      <c r="I491" t="s">
        <v>918</v>
      </c>
      <c r="J491" s="2">
        <v>25.488347000000001</v>
      </c>
      <c r="K491" s="2">
        <v>29.230399999999999</v>
      </c>
      <c r="L491" s="2" t="str">
        <f t="shared" si="21"/>
        <v>25–30°C</v>
      </c>
      <c r="M491" s="3">
        <v>75.666700000000006</v>
      </c>
      <c r="N491" s="3" t="str">
        <f t="shared" si="22"/>
        <v>60–80%</v>
      </c>
      <c r="O491" s="2">
        <v>10.250463999999999</v>
      </c>
      <c r="P491" s="2" t="str">
        <f t="shared" si="23"/>
        <v>10–15 km/h</v>
      </c>
      <c r="Q491" s="2">
        <v>2496</v>
      </c>
      <c r="R491" s="2">
        <v>4387</v>
      </c>
      <c r="S491" s="2">
        <v>6883</v>
      </c>
    </row>
    <row r="492" spans="1:19" x14ac:dyDescent="0.3">
      <c r="A492" s="2">
        <v>491</v>
      </c>
      <c r="B492" s="1">
        <v>43621</v>
      </c>
      <c r="C492" t="s">
        <v>904</v>
      </c>
      <c r="D492">
        <v>2019</v>
      </c>
      <c r="E492" t="s">
        <v>924</v>
      </c>
      <c r="F492" t="s">
        <v>908</v>
      </c>
      <c r="G492" t="s">
        <v>916</v>
      </c>
      <c r="H492" t="s">
        <v>908</v>
      </c>
      <c r="I492" t="s">
        <v>918</v>
      </c>
      <c r="J492" s="2">
        <v>23.0625</v>
      </c>
      <c r="K492" s="2">
        <v>27.336849999999998</v>
      </c>
      <c r="L492" s="2" t="str">
        <f t="shared" si="21"/>
        <v>25–30°C</v>
      </c>
      <c r="M492" s="3">
        <v>74</v>
      </c>
      <c r="N492" s="3" t="str">
        <f t="shared" si="22"/>
        <v>60–80%</v>
      </c>
      <c r="O492" s="2">
        <v>10.041893</v>
      </c>
      <c r="P492" s="2" t="str">
        <f t="shared" si="23"/>
        <v>10–15 km/h</v>
      </c>
      <c r="Q492" s="2">
        <v>2135</v>
      </c>
      <c r="R492" s="2">
        <v>4224</v>
      </c>
      <c r="S492" s="2">
        <v>6359</v>
      </c>
    </row>
    <row r="493" spans="1:19" x14ac:dyDescent="0.3">
      <c r="A493" s="2">
        <v>492</v>
      </c>
      <c r="B493" s="1">
        <v>43651</v>
      </c>
      <c r="C493" t="s">
        <v>904</v>
      </c>
      <c r="D493">
        <v>2019</v>
      </c>
      <c r="E493" t="s">
        <v>924</v>
      </c>
      <c r="F493" t="s">
        <v>908</v>
      </c>
      <c r="G493" t="s">
        <v>910</v>
      </c>
      <c r="H493" t="s">
        <v>909</v>
      </c>
      <c r="I493" t="s">
        <v>918</v>
      </c>
      <c r="J493" s="2">
        <v>22.037500000000001</v>
      </c>
      <c r="K493" s="2">
        <v>26.357099999999999</v>
      </c>
      <c r="L493" s="2" t="str">
        <f t="shared" si="21"/>
        <v>25–30°C</v>
      </c>
      <c r="M493" s="3">
        <v>66.416700000000006</v>
      </c>
      <c r="N493" s="3" t="str">
        <f t="shared" si="22"/>
        <v>60–80%</v>
      </c>
      <c r="O493" s="2">
        <v>15.458307</v>
      </c>
      <c r="P493" s="2" t="str">
        <f t="shared" si="23"/>
        <v>15–20 km/h</v>
      </c>
      <c r="Q493" s="2">
        <v>1008</v>
      </c>
      <c r="R493" s="2">
        <v>5265</v>
      </c>
      <c r="S493" s="2">
        <v>6273</v>
      </c>
    </row>
    <row r="494" spans="1:19" x14ac:dyDescent="0.3">
      <c r="A494" s="2">
        <v>493</v>
      </c>
      <c r="B494" s="1">
        <v>43682</v>
      </c>
      <c r="C494" t="s">
        <v>904</v>
      </c>
      <c r="D494">
        <v>2019</v>
      </c>
      <c r="E494" t="s">
        <v>924</v>
      </c>
      <c r="F494" t="s">
        <v>908</v>
      </c>
      <c r="G494" t="s">
        <v>911</v>
      </c>
      <c r="H494" t="s">
        <v>909</v>
      </c>
      <c r="I494" t="s">
        <v>918</v>
      </c>
      <c r="J494" s="2">
        <v>23.848347</v>
      </c>
      <c r="K494" s="2">
        <v>27.873550000000002</v>
      </c>
      <c r="L494" s="2" t="str">
        <f t="shared" si="21"/>
        <v>25–30°C</v>
      </c>
      <c r="M494" s="3">
        <v>68.583299999999994</v>
      </c>
      <c r="N494" s="3" t="str">
        <f t="shared" si="22"/>
        <v>60–80%</v>
      </c>
      <c r="O494" s="2">
        <v>19.833943000000001</v>
      </c>
      <c r="P494" s="2" t="str">
        <f t="shared" si="23"/>
        <v>15–20 km/h</v>
      </c>
      <c r="Q494" s="2">
        <v>738</v>
      </c>
      <c r="R494" s="2">
        <v>4990</v>
      </c>
      <c r="S494" s="2">
        <v>5728</v>
      </c>
    </row>
    <row r="495" spans="1:19" x14ac:dyDescent="0.3">
      <c r="A495" s="2">
        <v>494</v>
      </c>
      <c r="B495" s="1">
        <v>43713</v>
      </c>
      <c r="C495" t="s">
        <v>904</v>
      </c>
      <c r="D495">
        <v>2019</v>
      </c>
      <c r="E495" t="s">
        <v>924</v>
      </c>
      <c r="F495" t="s">
        <v>908</v>
      </c>
      <c r="G495" t="s">
        <v>912</v>
      </c>
      <c r="H495" t="s">
        <v>909</v>
      </c>
      <c r="I495" t="s">
        <v>918</v>
      </c>
      <c r="J495" s="2">
        <v>23.574999999999999</v>
      </c>
      <c r="K495" s="2">
        <v>27.651250000000001</v>
      </c>
      <c r="L495" s="2" t="str">
        <f t="shared" si="21"/>
        <v>25–30°C</v>
      </c>
      <c r="M495" s="3">
        <v>74.416700000000006</v>
      </c>
      <c r="N495" s="3" t="str">
        <f t="shared" si="22"/>
        <v>60–80%</v>
      </c>
      <c r="O495" s="2">
        <v>14.499604</v>
      </c>
      <c r="P495" s="2" t="str">
        <f t="shared" si="23"/>
        <v>10–15 km/h</v>
      </c>
      <c r="Q495" s="2">
        <v>620</v>
      </c>
      <c r="R495" s="2">
        <v>4097</v>
      </c>
      <c r="S495" s="2">
        <v>4717</v>
      </c>
    </row>
    <row r="496" spans="1:19" x14ac:dyDescent="0.3">
      <c r="A496" s="2">
        <v>495</v>
      </c>
      <c r="B496" s="1">
        <v>43743</v>
      </c>
      <c r="C496" t="s">
        <v>904</v>
      </c>
      <c r="D496">
        <v>2019</v>
      </c>
      <c r="E496" t="s">
        <v>924</v>
      </c>
      <c r="F496" t="s">
        <v>908</v>
      </c>
      <c r="G496" t="s">
        <v>913</v>
      </c>
      <c r="H496" t="s">
        <v>909</v>
      </c>
      <c r="I496" t="s">
        <v>917</v>
      </c>
      <c r="J496" s="2">
        <v>20.739153000000002</v>
      </c>
      <c r="K496" s="2">
        <v>24.58915</v>
      </c>
      <c r="L496" s="2" t="str">
        <f t="shared" si="21"/>
        <v>20–25°C</v>
      </c>
      <c r="M496" s="3">
        <v>55.208300000000001</v>
      </c>
      <c r="N496" s="3" t="str">
        <f t="shared" si="22"/>
        <v>40–60%</v>
      </c>
      <c r="O496" s="2">
        <v>21.042221000000001</v>
      </c>
      <c r="P496" s="2" t="str">
        <f t="shared" si="23"/>
        <v>20–25 km/h</v>
      </c>
      <c r="Q496" s="2">
        <v>1026</v>
      </c>
      <c r="R496" s="2">
        <v>5546</v>
      </c>
      <c r="S496" s="2">
        <v>6572</v>
      </c>
    </row>
    <row r="497" spans="1:19" x14ac:dyDescent="0.3">
      <c r="A497" s="2">
        <v>496</v>
      </c>
      <c r="B497" s="1">
        <v>43774</v>
      </c>
      <c r="C497" t="s">
        <v>904</v>
      </c>
      <c r="D497">
        <v>2019</v>
      </c>
      <c r="E497" t="s">
        <v>924</v>
      </c>
      <c r="F497" t="s">
        <v>908</v>
      </c>
      <c r="G497" t="s">
        <v>914</v>
      </c>
      <c r="H497" t="s">
        <v>909</v>
      </c>
      <c r="I497" t="s">
        <v>917</v>
      </c>
      <c r="J497" s="2">
        <v>21.866652999999999</v>
      </c>
      <c r="K497" s="2">
        <v>26.041650000000001</v>
      </c>
      <c r="L497" s="2" t="str">
        <f t="shared" si="21"/>
        <v>25–30°C</v>
      </c>
      <c r="M497" s="3">
        <v>36.041699999999999</v>
      </c>
      <c r="N497" s="3" t="str">
        <f t="shared" si="22"/>
        <v>20–40%</v>
      </c>
      <c r="O497" s="2">
        <v>15.874779</v>
      </c>
      <c r="P497" s="2" t="str">
        <f t="shared" si="23"/>
        <v>15–20 km/h</v>
      </c>
      <c r="Q497" s="2">
        <v>1319</v>
      </c>
      <c r="R497" s="2">
        <v>5711</v>
      </c>
      <c r="S497" s="2">
        <v>7030</v>
      </c>
    </row>
    <row r="498" spans="1:19" x14ac:dyDescent="0.3">
      <c r="A498" s="2">
        <v>497</v>
      </c>
      <c r="B498" s="1">
        <v>43804</v>
      </c>
      <c r="C498" t="s">
        <v>904</v>
      </c>
      <c r="D498">
        <v>2019</v>
      </c>
      <c r="E498" t="s">
        <v>924</v>
      </c>
      <c r="F498" t="s">
        <v>908</v>
      </c>
      <c r="G498" t="s">
        <v>915</v>
      </c>
      <c r="H498" t="s">
        <v>908</v>
      </c>
      <c r="I498" t="s">
        <v>917</v>
      </c>
      <c r="J498" s="2">
        <v>23.130846999999999</v>
      </c>
      <c r="K498" s="2">
        <v>27.240849999999998</v>
      </c>
      <c r="L498" s="2" t="str">
        <f t="shared" si="21"/>
        <v>25–30°C</v>
      </c>
      <c r="M498" s="3">
        <v>48.041699999999999</v>
      </c>
      <c r="N498" s="3" t="str">
        <f t="shared" si="22"/>
        <v>40–60%</v>
      </c>
      <c r="O498" s="2">
        <v>8.2499110000000009</v>
      </c>
      <c r="P498" s="2" t="str">
        <f t="shared" si="23"/>
        <v>5–10 km/h</v>
      </c>
      <c r="Q498" s="2">
        <v>2622</v>
      </c>
      <c r="R498" s="2">
        <v>4807</v>
      </c>
      <c r="S498" s="2">
        <v>7429</v>
      </c>
    </row>
    <row r="499" spans="1:19" x14ac:dyDescent="0.3">
      <c r="A499" s="2">
        <v>498</v>
      </c>
      <c r="B499" s="1" t="s">
        <v>754</v>
      </c>
      <c r="C499" t="s">
        <v>904</v>
      </c>
      <c r="D499">
        <v>2019</v>
      </c>
      <c r="E499" t="s">
        <v>924</v>
      </c>
      <c r="F499" t="s">
        <v>908</v>
      </c>
      <c r="G499" t="s">
        <v>916</v>
      </c>
      <c r="H499" t="s">
        <v>908</v>
      </c>
      <c r="I499" t="s">
        <v>917</v>
      </c>
      <c r="J499" s="2">
        <v>25.112500000000001</v>
      </c>
      <c r="K499" s="2">
        <v>29.261900000000001</v>
      </c>
      <c r="L499" s="2" t="str">
        <f t="shared" si="21"/>
        <v>25–30°C</v>
      </c>
      <c r="M499" s="3">
        <v>57.625</v>
      </c>
      <c r="N499" s="3" t="str">
        <f t="shared" si="22"/>
        <v>40–60%</v>
      </c>
      <c r="O499" s="2">
        <v>15.082839</v>
      </c>
      <c r="P499" s="2" t="str">
        <f t="shared" si="23"/>
        <v>15–20 km/h</v>
      </c>
      <c r="Q499" s="2">
        <v>2172</v>
      </c>
      <c r="R499" s="2">
        <v>3946</v>
      </c>
      <c r="S499" s="2">
        <v>6118</v>
      </c>
    </row>
    <row r="500" spans="1:19" x14ac:dyDescent="0.3">
      <c r="A500" s="2">
        <v>499</v>
      </c>
      <c r="B500" s="1" t="s">
        <v>755</v>
      </c>
      <c r="C500" t="s">
        <v>904</v>
      </c>
      <c r="D500">
        <v>2019</v>
      </c>
      <c r="E500" t="s">
        <v>924</v>
      </c>
      <c r="F500" t="s">
        <v>908</v>
      </c>
      <c r="G500" t="s">
        <v>910</v>
      </c>
      <c r="H500" t="s">
        <v>909</v>
      </c>
      <c r="I500" t="s">
        <v>918</v>
      </c>
      <c r="J500" s="2">
        <v>23.506653</v>
      </c>
      <c r="K500" s="2">
        <v>27.495000000000001</v>
      </c>
      <c r="L500" s="2" t="str">
        <f t="shared" si="21"/>
        <v>25–30°C</v>
      </c>
      <c r="M500" s="3">
        <v>78.958299999999994</v>
      </c>
      <c r="N500" s="3" t="str">
        <f t="shared" si="22"/>
        <v>60–80%</v>
      </c>
      <c r="O500" s="2">
        <v>14.250363999999999</v>
      </c>
      <c r="P500" s="2" t="str">
        <f t="shared" si="23"/>
        <v>10–15 km/h</v>
      </c>
      <c r="Q500" s="2">
        <v>342</v>
      </c>
      <c r="R500" s="2">
        <v>2501</v>
      </c>
      <c r="S500" s="2">
        <v>2843</v>
      </c>
    </row>
    <row r="501" spans="1:19" x14ac:dyDescent="0.3">
      <c r="A501" s="2">
        <v>500</v>
      </c>
      <c r="B501" s="1" t="s">
        <v>756</v>
      </c>
      <c r="C501" t="s">
        <v>904</v>
      </c>
      <c r="D501">
        <v>2019</v>
      </c>
      <c r="E501" t="s">
        <v>924</v>
      </c>
      <c r="F501" t="s">
        <v>908</v>
      </c>
      <c r="G501" t="s">
        <v>911</v>
      </c>
      <c r="H501" t="s">
        <v>909</v>
      </c>
      <c r="I501" t="s">
        <v>918</v>
      </c>
      <c r="J501" s="2">
        <v>25.078347000000001</v>
      </c>
      <c r="K501" s="2">
        <v>28.8202</v>
      </c>
      <c r="L501" s="2" t="str">
        <f t="shared" si="21"/>
        <v>25–30°C</v>
      </c>
      <c r="M501" s="3">
        <v>79.458299999999994</v>
      </c>
      <c r="N501" s="3" t="str">
        <f t="shared" si="22"/>
        <v>60–80%</v>
      </c>
      <c r="O501" s="2">
        <v>9.8752639999999996</v>
      </c>
      <c r="P501" s="2" t="str">
        <f t="shared" si="23"/>
        <v>5–10 km/h</v>
      </c>
      <c r="Q501" s="2">
        <v>625</v>
      </c>
      <c r="R501" s="2">
        <v>4490</v>
      </c>
      <c r="S501" s="2">
        <v>5115</v>
      </c>
    </row>
    <row r="502" spans="1:19" x14ac:dyDescent="0.3">
      <c r="A502" s="2">
        <v>501</v>
      </c>
      <c r="B502" s="1" t="s">
        <v>757</v>
      </c>
      <c r="C502" t="s">
        <v>904</v>
      </c>
      <c r="D502">
        <v>2019</v>
      </c>
      <c r="E502" t="s">
        <v>924</v>
      </c>
      <c r="F502" t="s">
        <v>908</v>
      </c>
      <c r="G502" t="s">
        <v>912</v>
      </c>
      <c r="H502" t="s">
        <v>909</v>
      </c>
      <c r="I502" t="s">
        <v>917</v>
      </c>
      <c r="J502" s="2">
        <v>26.103346999999999</v>
      </c>
      <c r="K502" s="2">
        <v>29.798749999999998</v>
      </c>
      <c r="L502" s="2" t="str">
        <f t="shared" si="21"/>
        <v>25–30°C</v>
      </c>
      <c r="M502" s="3">
        <v>69.791700000000006</v>
      </c>
      <c r="N502" s="3" t="str">
        <f t="shared" si="22"/>
        <v>60–80%</v>
      </c>
      <c r="O502" s="2">
        <v>8.208304</v>
      </c>
      <c r="P502" s="2" t="str">
        <f t="shared" si="23"/>
        <v>5–10 km/h</v>
      </c>
      <c r="Q502" s="2">
        <v>991</v>
      </c>
      <c r="R502" s="2">
        <v>6433</v>
      </c>
      <c r="S502" s="2">
        <v>7424</v>
      </c>
    </row>
    <row r="503" spans="1:19" x14ac:dyDescent="0.3">
      <c r="A503" s="2">
        <v>502</v>
      </c>
      <c r="B503" s="1" t="s">
        <v>758</v>
      </c>
      <c r="C503" t="s">
        <v>904</v>
      </c>
      <c r="D503">
        <v>2019</v>
      </c>
      <c r="E503" t="s">
        <v>924</v>
      </c>
      <c r="F503" t="s">
        <v>908</v>
      </c>
      <c r="G503" t="s">
        <v>913</v>
      </c>
      <c r="H503" t="s">
        <v>909</v>
      </c>
      <c r="I503" t="s">
        <v>917</v>
      </c>
      <c r="J503" s="2">
        <v>24.326653</v>
      </c>
      <c r="K503" s="2">
        <v>28.630649999999999</v>
      </c>
      <c r="L503" s="2" t="str">
        <f t="shared" si="21"/>
        <v>25–30°C</v>
      </c>
      <c r="M503" s="3">
        <v>52</v>
      </c>
      <c r="N503" s="3" t="str">
        <f t="shared" si="22"/>
        <v>40–60%</v>
      </c>
      <c r="O503" s="2">
        <v>15.374825</v>
      </c>
      <c r="P503" s="2" t="str">
        <f t="shared" si="23"/>
        <v>15–20 km/h</v>
      </c>
      <c r="Q503" s="2">
        <v>1242</v>
      </c>
      <c r="R503" s="2">
        <v>6142</v>
      </c>
      <c r="S503" s="2">
        <v>7384</v>
      </c>
    </row>
    <row r="504" spans="1:19" x14ac:dyDescent="0.3">
      <c r="A504" s="2">
        <v>503</v>
      </c>
      <c r="B504" s="1" t="s">
        <v>759</v>
      </c>
      <c r="C504" t="s">
        <v>904</v>
      </c>
      <c r="D504">
        <v>2019</v>
      </c>
      <c r="E504" t="s">
        <v>924</v>
      </c>
      <c r="F504" t="s">
        <v>908</v>
      </c>
      <c r="G504" t="s">
        <v>914</v>
      </c>
      <c r="H504" t="s">
        <v>909</v>
      </c>
      <c r="I504" t="s">
        <v>917</v>
      </c>
      <c r="J504" s="2">
        <v>23.130846999999999</v>
      </c>
      <c r="K504" s="2">
        <v>27.556049999999999</v>
      </c>
      <c r="L504" s="2" t="str">
        <f t="shared" si="21"/>
        <v>25–30°C</v>
      </c>
      <c r="M504" s="3">
        <v>52.333300000000001</v>
      </c>
      <c r="N504" s="3" t="str">
        <f t="shared" si="22"/>
        <v>40–60%</v>
      </c>
      <c r="O504" s="2">
        <v>9.1667389999999997</v>
      </c>
      <c r="P504" s="2" t="str">
        <f t="shared" si="23"/>
        <v>5–10 km/h</v>
      </c>
      <c r="Q504" s="2">
        <v>1521</v>
      </c>
      <c r="R504" s="2">
        <v>6118</v>
      </c>
      <c r="S504" s="2">
        <v>7639</v>
      </c>
    </row>
    <row r="505" spans="1:19" x14ac:dyDescent="0.3">
      <c r="A505" s="2">
        <v>504</v>
      </c>
      <c r="B505" s="1" t="s">
        <v>760</v>
      </c>
      <c r="C505" t="s">
        <v>904</v>
      </c>
      <c r="D505">
        <v>2019</v>
      </c>
      <c r="E505" t="s">
        <v>924</v>
      </c>
      <c r="F505" t="s">
        <v>908</v>
      </c>
      <c r="G505" t="s">
        <v>915</v>
      </c>
      <c r="H505" t="s">
        <v>908</v>
      </c>
      <c r="I505" t="s">
        <v>917</v>
      </c>
      <c r="J505" s="2">
        <v>24.6</v>
      </c>
      <c r="K505" s="2">
        <v>28.345400000000001</v>
      </c>
      <c r="L505" s="2" t="str">
        <f t="shared" si="21"/>
        <v>25–30°C</v>
      </c>
      <c r="M505" s="3">
        <v>45.625</v>
      </c>
      <c r="N505" s="3" t="str">
        <f t="shared" si="22"/>
        <v>40–60%</v>
      </c>
      <c r="O505" s="2">
        <v>5.6263249999999996</v>
      </c>
      <c r="P505" s="2" t="str">
        <f t="shared" si="23"/>
        <v>5–10 km/h</v>
      </c>
      <c r="Q505" s="2">
        <v>3410</v>
      </c>
      <c r="R505" s="2">
        <v>4884</v>
      </c>
      <c r="S505" s="2">
        <v>8294</v>
      </c>
    </row>
    <row r="506" spans="1:19" x14ac:dyDescent="0.3">
      <c r="A506" s="2">
        <v>505</v>
      </c>
      <c r="B506" s="1" t="s">
        <v>761</v>
      </c>
      <c r="C506" t="s">
        <v>904</v>
      </c>
      <c r="D506">
        <v>2019</v>
      </c>
      <c r="E506" t="s">
        <v>924</v>
      </c>
      <c r="F506" t="s">
        <v>908</v>
      </c>
      <c r="G506" t="s">
        <v>916</v>
      </c>
      <c r="H506" t="s">
        <v>908</v>
      </c>
      <c r="I506" t="s">
        <v>917</v>
      </c>
      <c r="J506" s="2">
        <v>25.454153000000002</v>
      </c>
      <c r="K506" s="2">
        <v>29.198350000000001</v>
      </c>
      <c r="L506" s="2" t="str">
        <f t="shared" si="21"/>
        <v>25–30°C</v>
      </c>
      <c r="M506" s="3">
        <v>53.041699999999999</v>
      </c>
      <c r="N506" s="3" t="str">
        <f t="shared" si="22"/>
        <v>40–60%</v>
      </c>
      <c r="O506" s="2">
        <v>17.042589</v>
      </c>
      <c r="P506" s="2" t="str">
        <f t="shared" si="23"/>
        <v>15–20 km/h</v>
      </c>
      <c r="Q506" s="2">
        <v>2704</v>
      </c>
      <c r="R506" s="2">
        <v>4425</v>
      </c>
      <c r="S506" s="2">
        <v>7129</v>
      </c>
    </row>
    <row r="507" spans="1:19" x14ac:dyDescent="0.3">
      <c r="A507" s="2">
        <v>506</v>
      </c>
      <c r="B507" s="1" t="s">
        <v>762</v>
      </c>
      <c r="C507" t="s">
        <v>904</v>
      </c>
      <c r="D507">
        <v>2019</v>
      </c>
      <c r="E507" t="s">
        <v>924</v>
      </c>
      <c r="F507" t="s">
        <v>908</v>
      </c>
      <c r="G507" t="s">
        <v>910</v>
      </c>
      <c r="H507" t="s">
        <v>909</v>
      </c>
      <c r="I507" t="s">
        <v>918</v>
      </c>
      <c r="J507" s="2">
        <v>24.531652999999999</v>
      </c>
      <c r="K507" s="2">
        <v>28.283349999999999</v>
      </c>
      <c r="L507" s="2" t="str">
        <f t="shared" si="21"/>
        <v>25–30°C</v>
      </c>
      <c r="M507" s="3">
        <v>81.125</v>
      </c>
      <c r="N507" s="3" t="str">
        <f t="shared" si="22"/>
        <v>80–100%</v>
      </c>
      <c r="O507" s="2">
        <v>15.624668</v>
      </c>
      <c r="P507" s="2" t="str">
        <f t="shared" si="23"/>
        <v>15–20 km/h</v>
      </c>
      <c r="Q507" s="2">
        <v>630</v>
      </c>
      <c r="R507" s="2">
        <v>3729</v>
      </c>
      <c r="S507" s="2">
        <v>4359</v>
      </c>
    </row>
    <row r="508" spans="1:19" x14ac:dyDescent="0.3">
      <c r="A508" s="2">
        <v>507</v>
      </c>
      <c r="B508" s="1" t="s">
        <v>763</v>
      </c>
      <c r="C508" t="s">
        <v>904</v>
      </c>
      <c r="D508">
        <v>2019</v>
      </c>
      <c r="E508" t="s">
        <v>924</v>
      </c>
      <c r="F508" t="s">
        <v>908</v>
      </c>
      <c r="G508" t="s">
        <v>911</v>
      </c>
      <c r="H508" t="s">
        <v>909</v>
      </c>
      <c r="I508" t="s">
        <v>918</v>
      </c>
      <c r="J508" s="2">
        <v>25.215</v>
      </c>
      <c r="K508" s="2">
        <v>29.041250000000002</v>
      </c>
      <c r="L508" s="2" t="str">
        <f t="shared" si="21"/>
        <v>25–30°C</v>
      </c>
      <c r="M508" s="3">
        <v>76.583299999999994</v>
      </c>
      <c r="N508" s="3" t="str">
        <f t="shared" si="22"/>
        <v>60–80%</v>
      </c>
      <c r="O508" s="2">
        <v>7.9171889999999996</v>
      </c>
      <c r="P508" s="2" t="str">
        <f t="shared" si="23"/>
        <v>5–10 km/h</v>
      </c>
      <c r="Q508" s="2">
        <v>819</v>
      </c>
      <c r="R508" s="2">
        <v>5254</v>
      </c>
      <c r="S508" s="2">
        <v>6073</v>
      </c>
    </row>
    <row r="509" spans="1:19" x14ac:dyDescent="0.3">
      <c r="A509" s="2">
        <v>508</v>
      </c>
      <c r="B509" s="1" t="s">
        <v>764</v>
      </c>
      <c r="C509" t="s">
        <v>904</v>
      </c>
      <c r="D509">
        <v>2019</v>
      </c>
      <c r="E509" t="s">
        <v>924</v>
      </c>
      <c r="F509" t="s">
        <v>908</v>
      </c>
      <c r="G509" t="s">
        <v>912</v>
      </c>
      <c r="H509" t="s">
        <v>909</v>
      </c>
      <c r="I509" t="s">
        <v>918</v>
      </c>
      <c r="J509" s="2">
        <v>25.488347000000001</v>
      </c>
      <c r="K509" s="2">
        <v>29.230599999999999</v>
      </c>
      <c r="L509" s="2" t="str">
        <f t="shared" si="21"/>
        <v>25–30°C</v>
      </c>
      <c r="M509" s="3">
        <v>77.458299999999994</v>
      </c>
      <c r="N509" s="3" t="str">
        <f t="shared" si="22"/>
        <v>60–80%</v>
      </c>
      <c r="O509" s="2">
        <v>6.8339999999999996</v>
      </c>
      <c r="P509" s="2" t="str">
        <f t="shared" si="23"/>
        <v>5–10 km/h</v>
      </c>
      <c r="Q509" s="2">
        <v>766</v>
      </c>
      <c r="R509" s="2">
        <v>4494</v>
      </c>
      <c r="S509" s="2">
        <v>5260</v>
      </c>
    </row>
    <row r="510" spans="1:19" x14ac:dyDescent="0.3">
      <c r="A510" s="2">
        <v>509</v>
      </c>
      <c r="B510" s="1" t="s">
        <v>765</v>
      </c>
      <c r="C510" t="s">
        <v>904</v>
      </c>
      <c r="D510">
        <v>2019</v>
      </c>
      <c r="E510" t="s">
        <v>924</v>
      </c>
      <c r="F510" t="s">
        <v>908</v>
      </c>
      <c r="G510" t="s">
        <v>913</v>
      </c>
      <c r="H510" t="s">
        <v>909</v>
      </c>
      <c r="I510" t="s">
        <v>917</v>
      </c>
      <c r="J510" s="2">
        <v>26.855</v>
      </c>
      <c r="K510" s="2">
        <v>30.335000000000001</v>
      </c>
      <c r="L510" s="2" t="str">
        <f t="shared" si="21"/>
        <v>30–35°C</v>
      </c>
      <c r="M510" s="3">
        <v>71.666700000000006</v>
      </c>
      <c r="N510" s="3" t="str">
        <f t="shared" si="22"/>
        <v>60–80%</v>
      </c>
      <c r="O510" s="2">
        <v>11.584032000000001</v>
      </c>
      <c r="P510" s="2" t="str">
        <f t="shared" si="23"/>
        <v>10–15 km/h</v>
      </c>
      <c r="Q510" s="2">
        <v>1059</v>
      </c>
      <c r="R510" s="2">
        <v>5711</v>
      </c>
      <c r="S510" s="2">
        <v>6770</v>
      </c>
    </row>
    <row r="511" spans="1:19" x14ac:dyDescent="0.3">
      <c r="A511" s="2">
        <v>510</v>
      </c>
      <c r="B511" s="1" t="s">
        <v>766</v>
      </c>
      <c r="C511" t="s">
        <v>904</v>
      </c>
      <c r="D511">
        <v>2019</v>
      </c>
      <c r="E511" t="s">
        <v>924</v>
      </c>
      <c r="F511" t="s">
        <v>908</v>
      </c>
      <c r="G511" t="s">
        <v>914</v>
      </c>
      <c r="H511" t="s">
        <v>909</v>
      </c>
      <c r="I511" t="s">
        <v>917</v>
      </c>
      <c r="J511" s="2">
        <v>27.88</v>
      </c>
      <c r="K511" s="2">
        <v>31.376449999999998</v>
      </c>
      <c r="L511" s="2" t="str">
        <f t="shared" si="21"/>
        <v>30–35°C</v>
      </c>
      <c r="M511" s="3">
        <v>74.708299999999994</v>
      </c>
      <c r="N511" s="3" t="str">
        <f t="shared" si="22"/>
        <v>60–80%</v>
      </c>
      <c r="O511" s="2">
        <v>9.4168500000000002</v>
      </c>
      <c r="P511" s="2" t="str">
        <f t="shared" si="23"/>
        <v>5–10 km/h</v>
      </c>
      <c r="Q511" s="2">
        <v>1417</v>
      </c>
      <c r="R511" s="2">
        <v>5317</v>
      </c>
      <c r="S511" s="2">
        <v>6734</v>
      </c>
    </row>
    <row r="512" spans="1:19" x14ac:dyDescent="0.3">
      <c r="A512" s="2">
        <v>511</v>
      </c>
      <c r="B512" s="1" t="s">
        <v>767</v>
      </c>
      <c r="C512" t="s">
        <v>904</v>
      </c>
      <c r="D512">
        <v>2019</v>
      </c>
      <c r="E512" t="s">
        <v>924</v>
      </c>
      <c r="F512" t="s">
        <v>908</v>
      </c>
      <c r="G512" t="s">
        <v>915</v>
      </c>
      <c r="H512" t="s">
        <v>908</v>
      </c>
      <c r="I512" t="s">
        <v>917</v>
      </c>
      <c r="J512" s="2">
        <v>28.392499999999998</v>
      </c>
      <c r="K512" s="2">
        <v>32.134799999999998</v>
      </c>
      <c r="L512" s="2" t="str">
        <f t="shared" si="21"/>
        <v>30–35°C</v>
      </c>
      <c r="M512" s="3">
        <v>73.25</v>
      </c>
      <c r="N512" s="3" t="str">
        <f t="shared" si="22"/>
        <v>60–80%</v>
      </c>
      <c r="O512" s="2">
        <v>13.332464</v>
      </c>
      <c r="P512" s="2" t="str">
        <f t="shared" si="23"/>
        <v>10–15 km/h</v>
      </c>
      <c r="Q512" s="2">
        <v>2855</v>
      </c>
      <c r="R512" s="2">
        <v>3681</v>
      </c>
      <c r="S512" s="2">
        <v>6536</v>
      </c>
    </row>
    <row r="513" spans="1:19" x14ac:dyDescent="0.3">
      <c r="A513" s="2">
        <v>512</v>
      </c>
      <c r="B513" s="1" t="s">
        <v>768</v>
      </c>
      <c r="C513" t="s">
        <v>904</v>
      </c>
      <c r="D513">
        <v>2019</v>
      </c>
      <c r="E513" t="s">
        <v>924</v>
      </c>
      <c r="F513" t="s">
        <v>908</v>
      </c>
      <c r="G513" t="s">
        <v>916</v>
      </c>
      <c r="H513" t="s">
        <v>908</v>
      </c>
      <c r="I513" t="s">
        <v>917</v>
      </c>
      <c r="J513" s="2">
        <v>28.29</v>
      </c>
      <c r="K513" s="2">
        <v>32.071249999999999</v>
      </c>
      <c r="L513" s="2" t="str">
        <f t="shared" si="21"/>
        <v>30–35°C</v>
      </c>
      <c r="M513" s="3">
        <v>69.708299999999994</v>
      </c>
      <c r="N513" s="3" t="str">
        <f t="shared" si="22"/>
        <v>60–80%</v>
      </c>
      <c r="O513" s="2">
        <v>14.416456999999999</v>
      </c>
      <c r="P513" s="2" t="str">
        <f t="shared" si="23"/>
        <v>10–15 km/h</v>
      </c>
      <c r="Q513" s="2">
        <v>3283</v>
      </c>
      <c r="R513" s="2">
        <v>3308</v>
      </c>
      <c r="S513" s="2">
        <v>6591</v>
      </c>
    </row>
    <row r="514" spans="1:19" x14ac:dyDescent="0.3">
      <c r="A514" s="2">
        <v>513</v>
      </c>
      <c r="B514" s="1" t="s">
        <v>769</v>
      </c>
      <c r="C514" t="s">
        <v>904</v>
      </c>
      <c r="D514">
        <v>2019</v>
      </c>
      <c r="E514" t="s">
        <v>924</v>
      </c>
      <c r="F514" t="s">
        <v>909</v>
      </c>
      <c r="G514" t="s">
        <v>910</v>
      </c>
      <c r="H514" t="s">
        <v>908</v>
      </c>
      <c r="I514" t="s">
        <v>917</v>
      </c>
      <c r="J514" s="2">
        <v>29.212499999999999</v>
      </c>
      <c r="K514" s="2">
        <v>33.965000000000003</v>
      </c>
      <c r="L514" s="2" t="str">
        <f t="shared" ref="L514:L577" si="24">FLOOR(K514,5)&amp;"–"&amp;FLOOR(K514,5)+5&amp;"°C"</f>
        <v>30–35°C</v>
      </c>
      <c r="M514" s="3">
        <v>67.625</v>
      </c>
      <c r="N514" s="3" t="str">
        <f t="shared" ref="N514:N577" si="25">FLOOR(M514,20)&amp;"–"&amp;FLOOR(M514,20)+20&amp;"%"</f>
        <v>60–80%</v>
      </c>
      <c r="O514" s="2">
        <v>13.166907</v>
      </c>
      <c r="P514" s="2" t="str">
        <f t="shared" ref="P514:P577" si="26">FLOOR(O514,5)&amp;"–"&amp;FLOOR(O514,5)+5&amp;" km/h"</f>
        <v>10–15 km/h</v>
      </c>
      <c r="Q514" s="2">
        <v>2557</v>
      </c>
      <c r="R514" s="2">
        <v>3486</v>
      </c>
      <c r="S514" s="2">
        <v>6043</v>
      </c>
    </row>
    <row r="515" spans="1:19" x14ac:dyDescent="0.3">
      <c r="A515" s="2">
        <v>514</v>
      </c>
      <c r="B515" s="1" t="s">
        <v>770</v>
      </c>
      <c r="C515" t="s">
        <v>904</v>
      </c>
      <c r="D515">
        <v>2019</v>
      </c>
      <c r="E515" t="s">
        <v>924</v>
      </c>
      <c r="F515" t="s">
        <v>908</v>
      </c>
      <c r="G515" t="s">
        <v>911</v>
      </c>
      <c r="H515" t="s">
        <v>909</v>
      </c>
      <c r="I515" t="s">
        <v>917</v>
      </c>
      <c r="J515" s="2">
        <v>29.622499999999999</v>
      </c>
      <c r="K515" s="2">
        <v>33.6496</v>
      </c>
      <c r="L515" s="2" t="str">
        <f t="shared" si="24"/>
        <v>30–35°C</v>
      </c>
      <c r="M515" s="3">
        <v>68.458299999999994</v>
      </c>
      <c r="N515" s="3" t="str">
        <f t="shared" si="25"/>
        <v>60–80%</v>
      </c>
      <c r="O515" s="2">
        <v>19.791799999999999</v>
      </c>
      <c r="P515" s="2" t="str">
        <f t="shared" si="26"/>
        <v>15–20 km/h</v>
      </c>
      <c r="Q515" s="2">
        <v>880</v>
      </c>
      <c r="R515" s="2">
        <v>4863</v>
      </c>
      <c r="S515" s="2">
        <v>5743</v>
      </c>
    </row>
    <row r="516" spans="1:19" x14ac:dyDescent="0.3">
      <c r="A516" s="2">
        <v>515</v>
      </c>
      <c r="B516" s="1" t="s">
        <v>771</v>
      </c>
      <c r="C516" t="s">
        <v>904</v>
      </c>
      <c r="D516">
        <v>2019</v>
      </c>
      <c r="E516" t="s">
        <v>924</v>
      </c>
      <c r="F516" t="s">
        <v>908</v>
      </c>
      <c r="G516" t="s">
        <v>912</v>
      </c>
      <c r="H516" t="s">
        <v>909</v>
      </c>
      <c r="I516" t="s">
        <v>918</v>
      </c>
      <c r="J516" s="2">
        <v>26.923347</v>
      </c>
      <c r="K516" s="2">
        <v>30.556450000000002</v>
      </c>
      <c r="L516" s="2" t="str">
        <f t="shared" si="24"/>
        <v>30–35°C</v>
      </c>
      <c r="M516" s="3">
        <v>67</v>
      </c>
      <c r="N516" s="3" t="str">
        <f t="shared" si="25"/>
        <v>60–80%</v>
      </c>
      <c r="O516" s="2">
        <v>9.0000429999999998</v>
      </c>
      <c r="P516" s="2" t="str">
        <f t="shared" si="26"/>
        <v>5–10 km/h</v>
      </c>
      <c r="Q516" s="2">
        <v>745</v>
      </c>
      <c r="R516" s="2">
        <v>6110</v>
      </c>
      <c r="S516" s="2">
        <v>6855</v>
      </c>
    </row>
    <row r="517" spans="1:19" x14ac:dyDescent="0.3">
      <c r="A517" s="2">
        <v>516</v>
      </c>
      <c r="B517" s="1" t="s">
        <v>772</v>
      </c>
      <c r="C517" t="s">
        <v>904</v>
      </c>
      <c r="D517">
        <v>2019</v>
      </c>
      <c r="E517" t="s">
        <v>924</v>
      </c>
      <c r="F517" t="s">
        <v>908</v>
      </c>
      <c r="G517" t="s">
        <v>913</v>
      </c>
      <c r="H517" t="s">
        <v>909</v>
      </c>
      <c r="I517" t="s">
        <v>917</v>
      </c>
      <c r="J517" s="2">
        <v>27.88</v>
      </c>
      <c r="K517" s="2">
        <v>31.56645</v>
      </c>
      <c r="L517" s="2" t="str">
        <f t="shared" si="24"/>
        <v>30–35°C</v>
      </c>
      <c r="M517" s="3">
        <v>49.291699999999999</v>
      </c>
      <c r="N517" s="3" t="str">
        <f t="shared" si="25"/>
        <v>40–60%</v>
      </c>
      <c r="O517" s="2">
        <v>13.083693</v>
      </c>
      <c r="P517" s="2" t="str">
        <f t="shared" si="26"/>
        <v>10–15 km/h</v>
      </c>
      <c r="Q517" s="2">
        <v>1100</v>
      </c>
      <c r="R517" s="2">
        <v>6238</v>
      </c>
      <c r="S517" s="2">
        <v>7338</v>
      </c>
    </row>
    <row r="518" spans="1:19" x14ac:dyDescent="0.3">
      <c r="A518" s="2">
        <v>517</v>
      </c>
      <c r="B518" s="1">
        <v>43471</v>
      </c>
      <c r="C518" t="s">
        <v>904</v>
      </c>
      <c r="D518">
        <v>2019</v>
      </c>
      <c r="E518" t="s">
        <v>925</v>
      </c>
      <c r="F518" t="s">
        <v>908</v>
      </c>
      <c r="G518" t="s">
        <v>914</v>
      </c>
      <c r="H518" t="s">
        <v>909</v>
      </c>
      <c r="I518" t="s">
        <v>918</v>
      </c>
      <c r="J518" s="2">
        <v>26.820847000000001</v>
      </c>
      <c r="K518" s="2">
        <v>30.398099999999999</v>
      </c>
      <c r="L518" s="2" t="str">
        <f t="shared" si="24"/>
        <v>30–35°C</v>
      </c>
      <c r="M518" s="3">
        <v>75.541700000000006</v>
      </c>
      <c r="N518" s="3" t="str">
        <f t="shared" si="25"/>
        <v>60–80%</v>
      </c>
      <c r="O518" s="2">
        <v>15.916721000000001</v>
      </c>
      <c r="P518" s="2" t="str">
        <f t="shared" si="26"/>
        <v>15–20 km/h</v>
      </c>
      <c r="Q518" s="2">
        <v>533</v>
      </c>
      <c r="R518" s="2">
        <v>3594</v>
      </c>
      <c r="S518" s="2">
        <v>4127</v>
      </c>
    </row>
    <row r="519" spans="1:19" x14ac:dyDescent="0.3">
      <c r="A519" s="2">
        <v>518</v>
      </c>
      <c r="B519" s="1">
        <v>43502</v>
      </c>
      <c r="C519" t="s">
        <v>904</v>
      </c>
      <c r="D519">
        <v>2019</v>
      </c>
      <c r="E519" t="s">
        <v>925</v>
      </c>
      <c r="F519" t="s">
        <v>908</v>
      </c>
      <c r="G519" t="s">
        <v>915</v>
      </c>
      <c r="H519" t="s">
        <v>908</v>
      </c>
      <c r="I519" t="s">
        <v>917</v>
      </c>
      <c r="J519" s="2">
        <v>23.916653</v>
      </c>
      <c r="K519" s="2">
        <v>28.314399999999999</v>
      </c>
      <c r="L519" s="2" t="str">
        <f t="shared" si="24"/>
        <v>25–30°C</v>
      </c>
      <c r="M519" s="3">
        <v>54.916699999999999</v>
      </c>
      <c r="N519" s="3" t="str">
        <f t="shared" si="25"/>
        <v>40–60%</v>
      </c>
      <c r="O519" s="2">
        <v>12.499654</v>
      </c>
      <c r="P519" s="2" t="str">
        <f t="shared" si="26"/>
        <v>10–15 km/h</v>
      </c>
      <c r="Q519" s="2">
        <v>2795</v>
      </c>
      <c r="R519" s="2">
        <v>5325</v>
      </c>
      <c r="S519" s="2">
        <v>8120</v>
      </c>
    </row>
    <row r="520" spans="1:19" x14ac:dyDescent="0.3">
      <c r="A520" s="2">
        <v>519</v>
      </c>
      <c r="B520" s="1">
        <v>43530</v>
      </c>
      <c r="C520" t="s">
        <v>904</v>
      </c>
      <c r="D520">
        <v>2019</v>
      </c>
      <c r="E520" t="s">
        <v>925</v>
      </c>
      <c r="F520" t="s">
        <v>908</v>
      </c>
      <c r="G520" t="s">
        <v>916</v>
      </c>
      <c r="H520" t="s">
        <v>908</v>
      </c>
      <c r="I520" t="s">
        <v>917</v>
      </c>
      <c r="J520" s="2">
        <v>24.702500000000001</v>
      </c>
      <c r="K520" s="2">
        <v>28.75665</v>
      </c>
      <c r="L520" s="2" t="str">
        <f t="shared" si="24"/>
        <v>25–30°C</v>
      </c>
      <c r="M520" s="3">
        <v>49.333300000000001</v>
      </c>
      <c r="N520" s="3" t="str">
        <f t="shared" si="25"/>
        <v>40–60%</v>
      </c>
      <c r="O520" s="2">
        <v>12.333829</v>
      </c>
      <c r="P520" s="2" t="str">
        <f t="shared" si="26"/>
        <v>10–15 km/h</v>
      </c>
      <c r="Q520" s="2">
        <v>2494</v>
      </c>
      <c r="R520" s="2">
        <v>5147</v>
      </c>
      <c r="S520" s="2">
        <v>7641</v>
      </c>
    </row>
    <row r="521" spans="1:19" x14ac:dyDescent="0.3">
      <c r="A521" s="2">
        <v>520</v>
      </c>
      <c r="B521" s="1">
        <v>43561</v>
      </c>
      <c r="C521" t="s">
        <v>904</v>
      </c>
      <c r="D521">
        <v>2019</v>
      </c>
      <c r="E521" t="s">
        <v>925</v>
      </c>
      <c r="F521" t="s">
        <v>908</v>
      </c>
      <c r="G521" t="s">
        <v>910</v>
      </c>
      <c r="H521" t="s">
        <v>909</v>
      </c>
      <c r="I521" t="s">
        <v>917</v>
      </c>
      <c r="J521" s="2">
        <v>24.497499999999999</v>
      </c>
      <c r="K521" s="2">
        <v>28.914149999999999</v>
      </c>
      <c r="L521" s="2" t="str">
        <f t="shared" si="24"/>
        <v>25–30°C</v>
      </c>
      <c r="M521" s="3">
        <v>48.708300000000001</v>
      </c>
      <c r="N521" s="3" t="str">
        <f t="shared" si="25"/>
        <v>40–60%</v>
      </c>
      <c r="O521" s="2">
        <v>19.083811000000001</v>
      </c>
      <c r="P521" s="2" t="str">
        <f t="shared" si="26"/>
        <v>15–20 km/h</v>
      </c>
      <c r="Q521" s="2">
        <v>1071</v>
      </c>
      <c r="R521" s="2">
        <v>5927</v>
      </c>
      <c r="S521" s="2">
        <v>6998</v>
      </c>
    </row>
    <row r="522" spans="1:19" x14ac:dyDescent="0.3">
      <c r="A522" s="2">
        <v>521</v>
      </c>
      <c r="B522" s="1">
        <v>43591</v>
      </c>
      <c r="C522" t="s">
        <v>904</v>
      </c>
      <c r="D522">
        <v>2019</v>
      </c>
      <c r="E522" t="s">
        <v>925</v>
      </c>
      <c r="F522" t="s">
        <v>908</v>
      </c>
      <c r="G522" t="s">
        <v>911</v>
      </c>
      <c r="H522" t="s">
        <v>909</v>
      </c>
      <c r="I522" t="s">
        <v>918</v>
      </c>
      <c r="J522" s="2">
        <v>22.174153</v>
      </c>
      <c r="K522" s="2">
        <v>26.294599999999999</v>
      </c>
      <c r="L522" s="2" t="str">
        <f t="shared" si="24"/>
        <v>25–30°C</v>
      </c>
      <c r="M522" s="3">
        <v>61.333300000000001</v>
      </c>
      <c r="N522" s="3" t="str">
        <f t="shared" si="25"/>
        <v>60–80%</v>
      </c>
      <c r="O522" s="2">
        <v>14.041525</v>
      </c>
      <c r="P522" s="2" t="str">
        <f t="shared" si="26"/>
        <v>10–15 km/h</v>
      </c>
      <c r="Q522" s="2">
        <v>968</v>
      </c>
      <c r="R522" s="2">
        <v>6033</v>
      </c>
      <c r="S522" s="2">
        <v>7001</v>
      </c>
    </row>
    <row r="523" spans="1:19" x14ac:dyDescent="0.3">
      <c r="A523" s="2">
        <v>522</v>
      </c>
      <c r="B523" s="1">
        <v>43622</v>
      </c>
      <c r="C523" t="s">
        <v>904</v>
      </c>
      <c r="D523">
        <v>2019</v>
      </c>
      <c r="E523" t="s">
        <v>925</v>
      </c>
      <c r="F523" t="s">
        <v>908</v>
      </c>
      <c r="G523" t="s">
        <v>912</v>
      </c>
      <c r="H523" t="s">
        <v>909</v>
      </c>
      <c r="I523" t="s">
        <v>917</v>
      </c>
      <c r="J523" s="2">
        <v>22.720846999999999</v>
      </c>
      <c r="K523" s="2">
        <v>27.114599999999999</v>
      </c>
      <c r="L523" s="2" t="str">
        <f t="shared" si="24"/>
        <v>25–30°C</v>
      </c>
      <c r="M523" s="3">
        <v>61.125</v>
      </c>
      <c r="N523" s="3" t="str">
        <f t="shared" si="25"/>
        <v>60–80%</v>
      </c>
      <c r="O523" s="2">
        <v>5.1673749999999998</v>
      </c>
      <c r="P523" s="2" t="str">
        <f t="shared" si="26"/>
        <v>5–10 km/h</v>
      </c>
      <c r="Q523" s="2">
        <v>1027</v>
      </c>
      <c r="R523" s="2">
        <v>6028</v>
      </c>
      <c r="S523" s="2">
        <v>7055</v>
      </c>
    </row>
    <row r="524" spans="1:19" x14ac:dyDescent="0.3">
      <c r="A524" s="2">
        <v>523</v>
      </c>
      <c r="B524" s="1">
        <v>43652</v>
      </c>
      <c r="C524" t="s">
        <v>904</v>
      </c>
      <c r="D524">
        <v>2019</v>
      </c>
      <c r="E524" t="s">
        <v>925</v>
      </c>
      <c r="F524" t="s">
        <v>908</v>
      </c>
      <c r="G524" t="s">
        <v>913</v>
      </c>
      <c r="H524" t="s">
        <v>909</v>
      </c>
      <c r="I524" t="s">
        <v>917</v>
      </c>
      <c r="J524" s="2">
        <v>24.702500000000001</v>
      </c>
      <c r="K524" s="2">
        <v>28.472100000000001</v>
      </c>
      <c r="L524" s="2" t="str">
        <f t="shared" si="24"/>
        <v>25–30°C</v>
      </c>
      <c r="M524" s="3">
        <v>56.708300000000001</v>
      </c>
      <c r="N524" s="3" t="str">
        <f t="shared" si="25"/>
        <v>40–60%</v>
      </c>
      <c r="O524" s="2">
        <v>10.542450000000001</v>
      </c>
      <c r="P524" s="2" t="str">
        <f t="shared" si="26"/>
        <v>10–15 km/h</v>
      </c>
      <c r="Q524" s="2">
        <v>1038</v>
      </c>
      <c r="R524" s="2">
        <v>6456</v>
      </c>
      <c r="S524" s="2">
        <v>7494</v>
      </c>
    </row>
    <row r="525" spans="1:19" x14ac:dyDescent="0.3">
      <c r="A525" s="2">
        <v>524</v>
      </c>
      <c r="B525" s="1">
        <v>43683</v>
      </c>
      <c r="C525" t="s">
        <v>904</v>
      </c>
      <c r="D525">
        <v>2019</v>
      </c>
      <c r="E525" t="s">
        <v>925</v>
      </c>
      <c r="F525" t="s">
        <v>908</v>
      </c>
      <c r="G525" t="s">
        <v>914</v>
      </c>
      <c r="H525" t="s">
        <v>909</v>
      </c>
      <c r="I525" t="s">
        <v>917</v>
      </c>
      <c r="J525" s="2">
        <v>26.615846999999999</v>
      </c>
      <c r="K525" s="2">
        <v>29.8931</v>
      </c>
      <c r="L525" s="2" t="str">
        <f t="shared" si="24"/>
        <v>25–30°C</v>
      </c>
      <c r="M525" s="3">
        <v>46.791699999999999</v>
      </c>
      <c r="N525" s="3" t="str">
        <f t="shared" si="25"/>
        <v>40–60%</v>
      </c>
      <c r="O525" s="2">
        <v>11.750660999999999</v>
      </c>
      <c r="P525" s="2" t="str">
        <f t="shared" si="26"/>
        <v>10–15 km/h</v>
      </c>
      <c r="Q525" s="2">
        <v>1488</v>
      </c>
      <c r="R525" s="2">
        <v>6248</v>
      </c>
      <c r="S525" s="2">
        <v>7736</v>
      </c>
    </row>
    <row r="526" spans="1:19" x14ac:dyDescent="0.3">
      <c r="A526" s="2">
        <v>525</v>
      </c>
      <c r="B526" s="1">
        <v>43714</v>
      </c>
      <c r="C526" t="s">
        <v>904</v>
      </c>
      <c r="D526">
        <v>2019</v>
      </c>
      <c r="E526" t="s">
        <v>925</v>
      </c>
      <c r="F526" t="s">
        <v>908</v>
      </c>
      <c r="G526" t="s">
        <v>915</v>
      </c>
      <c r="H526" t="s">
        <v>908</v>
      </c>
      <c r="I526" t="s">
        <v>917</v>
      </c>
      <c r="J526" s="2">
        <v>29.144152999999999</v>
      </c>
      <c r="K526" s="2">
        <v>32.418349999999997</v>
      </c>
      <c r="L526" s="2" t="str">
        <f t="shared" si="24"/>
        <v>30–35°C</v>
      </c>
      <c r="M526" s="3">
        <v>43.708300000000001</v>
      </c>
      <c r="N526" s="3" t="str">
        <f t="shared" si="25"/>
        <v>40–60%</v>
      </c>
      <c r="O526" s="2">
        <v>9.6672290000000007</v>
      </c>
      <c r="P526" s="2" t="str">
        <f t="shared" si="26"/>
        <v>5–10 km/h</v>
      </c>
      <c r="Q526" s="2">
        <v>2708</v>
      </c>
      <c r="R526" s="2">
        <v>4790</v>
      </c>
      <c r="S526" s="2">
        <v>7498</v>
      </c>
    </row>
    <row r="527" spans="1:19" x14ac:dyDescent="0.3">
      <c r="A527" s="2">
        <v>526</v>
      </c>
      <c r="B527" s="1">
        <v>43744</v>
      </c>
      <c r="C527" t="s">
        <v>904</v>
      </c>
      <c r="D527">
        <v>2019</v>
      </c>
      <c r="E527" t="s">
        <v>925</v>
      </c>
      <c r="F527" t="s">
        <v>908</v>
      </c>
      <c r="G527" t="s">
        <v>916</v>
      </c>
      <c r="H527" t="s">
        <v>908</v>
      </c>
      <c r="I527" t="s">
        <v>917</v>
      </c>
      <c r="J527" s="2">
        <v>29.793347000000001</v>
      </c>
      <c r="K527" s="2">
        <v>33.175849999999997</v>
      </c>
      <c r="L527" s="2" t="str">
        <f t="shared" si="24"/>
        <v>30–35°C</v>
      </c>
      <c r="M527" s="3">
        <v>53.833300000000001</v>
      </c>
      <c r="N527" s="3" t="str">
        <f t="shared" si="25"/>
        <v>40–60%</v>
      </c>
      <c r="O527" s="2">
        <v>8.9593070000000008</v>
      </c>
      <c r="P527" s="2" t="str">
        <f t="shared" si="26"/>
        <v>5–10 km/h</v>
      </c>
      <c r="Q527" s="2">
        <v>2224</v>
      </c>
      <c r="R527" s="2">
        <v>4374</v>
      </c>
      <c r="S527" s="2">
        <v>6598</v>
      </c>
    </row>
    <row r="528" spans="1:19" x14ac:dyDescent="0.3">
      <c r="A528" s="2">
        <v>527</v>
      </c>
      <c r="B528" s="1">
        <v>43775</v>
      </c>
      <c r="C528" t="s">
        <v>904</v>
      </c>
      <c r="D528">
        <v>2019</v>
      </c>
      <c r="E528" t="s">
        <v>925</v>
      </c>
      <c r="F528" t="s">
        <v>908</v>
      </c>
      <c r="G528" t="s">
        <v>910</v>
      </c>
      <c r="H528" t="s">
        <v>909</v>
      </c>
      <c r="I528" t="s">
        <v>918</v>
      </c>
      <c r="J528" s="2">
        <v>29.554152999999999</v>
      </c>
      <c r="K528" s="2">
        <v>32.986049999999999</v>
      </c>
      <c r="L528" s="2" t="str">
        <f t="shared" si="24"/>
        <v>30–35°C</v>
      </c>
      <c r="M528" s="3">
        <v>58.791699999999999</v>
      </c>
      <c r="N528" s="3" t="str">
        <f t="shared" si="25"/>
        <v>40–60%</v>
      </c>
      <c r="O528" s="2">
        <v>13.916771000000001</v>
      </c>
      <c r="P528" s="2" t="str">
        <f t="shared" si="26"/>
        <v>10–15 km/h</v>
      </c>
      <c r="Q528" s="2">
        <v>1017</v>
      </c>
      <c r="R528" s="2">
        <v>5647</v>
      </c>
      <c r="S528" s="2">
        <v>6664</v>
      </c>
    </row>
    <row r="529" spans="1:19" x14ac:dyDescent="0.3">
      <c r="A529" s="2">
        <v>528</v>
      </c>
      <c r="B529" s="1">
        <v>43805</v>
      </c>
      <c r="C529" t="s">
        <v>904</v>
      </c>
      <c r="D529">
        <v>2019</v>
      </c>
      <c r="E529" t="s">
        <v>925</v>
      </c>
      <c r="F529" t="s">
        <v>908</v>
      </c>
      <c r="G529" t="s">
        <v>911</v>
      </c>
      <c r="H529" t="s">
        <v>909</v>
      </c>
      <c r="I529" t="s">
        <v>918</v>
      </c>
      <c r="J529" s="2">
        <v>26.786653000000001</v>
      </c>
      <c r="K529" s="2">
        <v>29.893750000000001</v>
      </c>
      <c r="L529" s="2" t="str">
        <f t="shared" si="24"/>
        <v>25–30°C</v>
      </c>
      <c r="M529" s="3">
        <v>83.333299999999994</v>
      </c>
      <c r="N529" s="3" t="str">
        <f t="shared" si="25"/>
        <v>80–100%</v>
      </c>
      <c r="O529" s="2">
        <v>14.374582</v>
      </c>
      <c r="P529" s="2" t="str">
        <f t="shared" si="26"/>
        <v>10–15 km/h</v>
      </c>
      <c r="Q529" s="2">
        <v>477</v>
      </c>
      <c r="R529" s="2">
        <v>4495</v>
      </c>
      <c r="S529" s="2">
        <v>4972</v>
      </c>
    </row>
    <row r="530" spans="1:19" x14ac:dyDescent="0.3">
      <c r="A530" s="2">
        <v>529</v>
      </c>
      <c r="B530" s="1" t="s">
        <v>773</v>
      </c>
      <c r="C530" t="s">
        <v>904</v>
      </c>
      <c r="D530">
        <v>2019</v>
      </c>
      <c r="E530" t="s">
        <v>925</v>
      </c>
      <c r="F530" t="s">
        <v>908</v>
      </c>
      <c r="G530" t="s">
        <v>912</v>
      </c>
      <c r="H530" t="s">
        <v>909</v>
      </c>
      <c r="I530" t="s">
        <v>917</v>
      </c>
      <c r="J530" s="2">
        <v>26.889153</v>
      </c>
      <c r="K530" s="2">
        <v>30.55585</v>
      </c>
      <c r="L530" s="2" t="str">
        <f t="shared" si="24"/>
        <v>30–35°C</v>
      </c>
      <c r="M530" s="3">
        <v>58.208300000000001</v>
      </c>
      <c r="N530" s="3" t="str">
        <f t="shared" si="25"/>
        <v>40–60%</v>
      </c>
      <c r="O530" s="2">
        <v>22.999693000000001</v>
      </c>
      <c r="P530" s="2" t="str">
        <f t="shared" si="26"/>
        <v>20–25 km/h</v>
      </c>
      <c r="Q530" s="2">
        <v>1173</v>
      </c>
      <c r="R530" s="2">
        <v>6248</v>
      </c>
      <c r="S530" s="2">
        <v>7421</v>
      </c>
    </row>
    <row r="531" spans="1:19" x14ac:dyDescent="0.3">
      <c r="A531" s="2">
        <v>530</v>
      </c>
      <c r="B531" s="1" t="s">
        <v>774</v>
      </c>
      <c r="C531" t="s">
        <v>904</v>
      </c>
      <c r="D531">
        <v>2019</v>
      </c>
      <c r="E531" t="s">
        <v>925</v>
      </c>
      <c r="F531" t="s">
        <v>908</v>
      </c>
      <c r="G531" t="s">
        <v>913</v>
      </c>
      <c r="H531" t="s">
        <v>909</v>
      </c>
      <c r="I531" t="s">
        <v>917</v>
      </c>
      <c r="J531" s="2">
        <v>26.581652999999999</v>
      </c>
      <c r="K531" s="2">
        <v>31.219149999999999</v>
      </c>
      <c r="L531" s="2" t="str">
        <f t="shared" si="24"/>
        <v>30–35°C</v>
      </c>
      <c r="M531" s="3">
        <v>56.958300000000001</v>
      </c>
      <c r="N531" s="3" t="str">
        <f t="shared" si="25"/>
        <v>40–60%</v>
      </c>
      <c r="O531" s="2">
        <v>17.000111</v>
      </c>
      <c r="P531" s="2" t="str">
        <f t="shared" si="26"/>
        <v>15–20 km/h</v>
      </c>
      <c r="Q531" s="2">
        <v>1180</v>
      </c>
      <c r="R531" s="2">
        <v>6183</v>
      </c>
      <c r="S531" s="2">
        <v>7363</v>
      </c>
    </row>
    <row r="532" spans="1:19" x14ac:dyDescent="0.3">
      <c r="A532" s="2">
        <v>531</v>
      </c>
      <c r="B532" s="1" t="s">
        <v>775</v>
      </c>
      <c r="C532" t="s">
        <v>904</v>
      </c>
      <c r="D532">
        <v>2019</v>
      </c>
      <c r="E532" t="s">
        <v>925</v>
      </c>
      <c r="F532" t="s">
        <v>908</v>
      </c>
      <c r="G532" t="s">
        <v>914</v>
      </c>
      <c r="H532" t="s">
        <v>909</v>
      </c>
      <c r="I532" t="s">
        <v>917</v>
      </c>
      <c r="J532" s="2">
        <v>26.205846999999999</v>
      </c>
      <c r="K532" s="2">
        <v>29.9877</v>
      </c>
      <c r="L532" s="2" t="str">
        <f t="shared" si="24"/>
        <v>25–30°C</v>
      </c>
      <c r="M532" s="3">
        <v>58.958300000000001</v>
      </c>
      <c r="N532" s="3" t="str">
        <f t="shared" si="25"/>
        <v>40–60%</v>
      </c>
      <c r="O532" s="2">
        <v>11.833339</v>
      </c>
      <c r="P532" s="2" t="str">
        <f t="shared" si="26"/>
        <v>10–15 km/h</v>
      </c>
      <c r="Q532" s="2">
        <v>1563</v>
      </c>
      <c r="R532" s="2">
        <v>6102</v>
      </c>
      <c r="S532" s="2">
        <v>7665</v>
      </c>
    </row>
    <row r="533" spans="1:19" x14ac:dyDescent="0.3">
      <c r="A533" s="2">
        <v>532</v>
      </c>
      <c r="B533" s="1" t="s">
        <v>776</v>
      </c>
      <c r="C533" t="s">
        <v>904</v>
      </c>
      <c r="D533">
        <v>2019</v>
      </c>
      <c r="E533" t="s">
        <v>925</v>
      </c>
      <c r="F533" t="s">
        <v>908</v>
      </c>
      <c r="G533" t="s">
        <v>915</v>
      </c>
      <c r="H533" t="s">
        <v>908</v>
      </c>
      <c r="I533" t="s">
        <v>917</v>
      </c>
      <c r="J533" s="2">
        <v>25.898347000000001</v>
      </c>
      <c r="K533" s="2">
        <v>29.735399999999998</v>
      </c>
      <c r="L533" s="2" t="str">
        <f t="shared" si="24"/>
        <v>25–30°C</v>
      </c>
      <c r="M533" s="3">
        <v>50.416699999999999</v>
      </c>
      <c r="N533" s="3" t="str">
        <f t="shared" si="25"/>
        <v>40–60%</v>
      </c>
      <c r="O533" s="2">
        <v>11.166689</v>
      </c>
      <c r="P533" s="2" t="str">
        <f t="shared" si="26"/>
        <v>10–15 km/h</v>
      </c>
      <c r="Q533" s="2">
        <v>2963</v>
      </c>
      <c r="R533" s="2">
        <v>4739</v>
      </c>
      <c r="S533" s="2">
        <v>7702</v>
      </c>
    </row>
    <row r="534" spans="1:19" x14ac:dyDescent="0.3">
      <c r="A534" s="2">
        <v>533</v>
      </c>
      <c r="B534" s="1" t="s">
        <v>777</v>
      </c>
      <c r="C534" t="s">
        <v>904</v>
      </c>
      <c r="D534">
        <v>2019</v>
      </c>
      <c r="E534" t="s">
        <v>925</v>
      </c>
      <c r="F534" t="s">
        <v>908</v>
      </c>
      <c r="G534" t="s">
        <v>916</v>
      </c>
      <c r="H534" t="s">
        <v>908</v>
      </c>
      <c r="I534" t="s">
        <v>917</v>
      </c>
      <c r="J534" s="2">
        <v>24.2925</v>
      </c>
      <c r="K534" s="2">
        <v>28.598749999999999</v>
      </c>
      <c r="L534" s="2" t="str">
        <f t="shared" si="24"/>
        <v>25–30°C</v>
      </c>
      <c r="M534" s="3">
        <v>59.875</v>
      </c>
      <c r="N534" s="3" t="str">
        <f t="shared" si="25"/>
        <v>40–60%</v>
      </c>
      <c r="O534" s="2">
        <v>9.7085679999999996</v>
      </c>
      <c r="P534" s="2" t="str">
        <f t="shared" si="26"/>
        <v>5–10 km/h</v>
      </c>
      <c r="Q534" s="2">
        <v>2634</v>
      </c>
      <c r="R534" s="2">
        <v>4344</v>
      </c>
      <c r="S534" s="2">
        <v>6978</v>
      </c>
    </row>
    <row r="535" spans="1:19" x14ac:dyDescent="0.3">
      <c r="A535" s="2">
        <v>534</v>
      </c>
      <c r="B535" s="1" t="s">
        <v>778</v>
      </c>
      <c r="C535" t="s">
        <v>904</v>
      </c>
      <c r="D535">
        <v>2019</v>
      </c>
      <c r="E535" t="s">
        <v>925</v>
      </c>
      <c r="F535" t="s">
        <v>908</v>
      </c>
      <c r="G535" t="s">
        <v>910</v>
      </c>
      <c r="H535" t="s">
        <v>909</v>
      </c>
      <c r="I535" t="s">
        <v>918</v>
      </c>
      <c r="J535" s="2">
        <v>23.301653000000002</v>
      </c>
      <c r="K535" s="2">
        <v>27.242100000000001</v>
      </c>
      <c r="L535" s="2" t="str">
        <f t="shared" si="24"/>
        <v>25–30°C</v>
      </c>
      <c r="M535" s="3">
        <v>77.791700000000006</v>
      </c>
      <c r="N535" s="3" t="str">
        <f t="shared" si="25"/>
        <v>60–80%</v>
      </c>
      <c r="O535" s="2">
        <v>11.707981999999999</v>
      </c>
      <c r="P535" s="2" t="str">
        <f t="shared" si="26"/>
        <v>10–15 km/h</v>
      </c>
      <c r="Q535" s="2">
        <v>653</v>
      </c>
      <c r="R535" s="2">
        <v>4446</v>
      </c>
      <c r="S535" s="2">
        <v>5099</v>
      </c>
    </row>
    <row r="536" spans="1:19" x14ac:dyDescent="0.3">
      <c r="A536" s="2">
        <v>535</v>
      </c>
      <c r="B536" s="1" t="s">
        <v>779</v>
      </c>
      <c r="C536" t="s">
        <v>904</v>
      </c>
      <c r="D536">
        <v>2019</v>
      </c>
      <c r="E536" t="s">
        <v>925</v>
      </c>
      <c r="F536" t="s">
        <v>908</v>
      </c>
      <c r="G536" t="s">
        <v>911</v>
      </c>
      <c r="H536" t="s">
        <v>909</v>
      </c>
      <c r="I536" t="s">
        <v>917</v>
      </c>
      <c r="J536" s="2">
        <v>28.221653</v>
      </c>
      <c r="K536" s="2">
        <v>32.7346</v>
      </c>
      <c r="L536" s="2" t="str">
        <f t="shared" si="24"/>
        <v>30–35°C</v>
      </c>
      <c r="M536" s="3">
        <v>69</v>
      </c>
      <c r="N536" s="3" t="str">
        <f t="shared" si="25"/>
        <v>60–80%</v>
      </c>
      <c r="O536" s="2">
        <v>9.9171390000000006</v>
      </c>
      <c r="P536" s="2" t="str">
        <f t="shared" si="26"/>
        <v>5–10 km/h</v>
      </c>
      <c r="Q536" s="2">
        <v>968</v>
      </c>
      <c r="R536" s="2">
        <v>5857</v>
      </c>
      <c r="S536" s="2">
        <v>6825</v>
      </c>
    </row>
    <row r="537" spans="1:19" x14ac:dyDescent="0.3">
      <c r="A537" s="2">
        <v>536</v>
      </c>
      <c r="B537" s="1" t="s">
        <v>780</v>
      </c>
      <c r="C537" t="s">
        <v>904</v>
      </c>
      <c r="D537">
        <v>2019</v>
      </c>
      <c r="E537" t="s">
        <v>925</v>
      </c>
      <c r="F537" t="s">
        <v>908</v>
      </c>
      <c r="G537" t="s">
        <v>912</v>
      </c>
      <c r="H537" t="s">
        <v>909</v>
      </c>
      <c r="I537" t="s">
        <v>917</v>
      </c>
      <c r="J537" s="2">
        <v>32.082500000000003</v>
      </c>
      <c r="K537" s="2">
        <v>36.048749999999998</v>
      </c>
      <c r="L537" s="2" t="str">
        <f t="shared" si="24"/>
        <v>35–40°C</v>
      </c>
      <c r="M537" s="3">
        <v>59.208300000000001</v>
      </c>
      <c r="N537" s="3" t="str">
        <f t="shared" si="25"/>
        <v>40–60%</v>
      </c>
      <c r="O537" s="2">
        <v>7.6254039999999996</v>
      </c>
      <c r="P537" s="2" t="str">
        <f t="shared" si="26"/>
        <v>5–10 km/h</v>
      </c>
      <c r="Q537" s="2">
        <v>872</v>
      </c>
      <c r="R537" s="2">
        <v>5339</v>
      </c>
      <c r="S537" s="2">
        <v>6211</v>
      </c>
    </row>
    <row r="538" spans="1:19" x14ac:dyDescent="0.3">
      <c r="A538" s="2">
        <v>537</v>
      </c>
      <c r="B538" s="1" t="s">
        <v>781</v>
      </c>
      <c r="C538" t="s">
        <v>905</v>
      </c>
      <c r="D538">
        <v>2019</v>
      </c>
      <c r="E538" t="s">
        <v>925</v>
      </c>
      <c r="F538" t="s">
        <v>908</v>
      </c>
      <c r="G538" t="s">
        <v>913</v>
      </c>
      <c r="H538" t="s">
        <v>909</v>
      </c>
      <c r="I538" t="s">
        <v>917</v>
      </c>
      <c r="J538" s="2">
        <v>33.039152999999999</v>
      </c>
      <c r="K538" s="2">
        <v>37.627099999999999</v>
      </c>
      <c r="L538" s="2" t="str">
        <f t="shared" si="24"/>
        <v>35–40°C</v>
      </c>
      <c r="M538" s="3">
        <v>56.791699999999999</v>
      </c>
      <c r="N538" s="3" t="str">
        <f t="shared" si="25"/>
        <v>40–60%</v>
      </c>
      <c r="O538" s="2">
        <v>7.9587289999999999</v>
      </c>
      <c r="P538" s="2" t="str">
        <f t="shared" si="26"/>
        <v>5–10 km/h</v>
      </c>
      <c r="Q538" s="2">
        <v>778</v>
      </c>
      <c r="R538" s="2">
        <v>5127</v>
      </c>
      <c r="S538" s="2">
        <v>5905</v>
      </c>
    </row>
    <row r="539" spans="1:19" x14ac:dyDescent="0.3">
      <c r="A539" s="2">
        <v>538</v>
      </c>
      <c r="B539" s="1" t="s">
        <v>782</v>
      </c>
      <c r="C539" t="s">
        <v>905</v>
      </c>
      <c r="D539">
        <v>2019</v>
      </c>
      <c r="E539" t="s">
        <v>925</v>
      </c>
      <c r="F539" t="s">
        <v>908</v>
      </c>
      <c r="G539" t="s">
        <v>914</v>
      </c>
      <c r="H539" t="s">
        <v>909</v>
      </c>
      <c r="I539" t="s">
        <v>917</v>
      </c>
      <c r="J539" s="2">
        <v>31.877500000000001</v>
      </c>
      <c r="K539" s="2">
        <v>36.206049999999998</v>
      </c>
      <c r="L539" s="2" t="str">
        <f t="shared" si="24"/>
        <v>35–40°C</v>
      </c>
      <c r="M539" s="3">
        <v>57.375</v>
      </c>
      <c r="N539" s="3" t="str">
        <f t="shared" si="25"/>
        <v>40–60%</v>
      </c>
      <c r="O539" s="2">
        <v>12.250413999999999</v>
      </c>
      <c r="P539" s="2" t="str">
        <f t="shared" si="26"/>
        <v>10–15 km/h</v>
      </c>
      <c r="Q539" s="2">
        <v>964</v>
      </c>
      <c r="R539" s="2">
        <v>4859</v>
      </c>
      <c r="S539" s="2">
        <v>5823</v>
      </c>
    </row>
    <row r="540" spans="1:19" x14ac:dyDescent="0.3">
      <c r="A540" s="2">
        <v>539</v>
      </c>
      <c r="B540" s="1" t="s">
        <v>783</v>
      </c>
      <c r="C540" t="s">
        <v>905</v>
      </c>
      <c r="D540">
        <v>2019</v>
      </c>
      <c r="E540" t="s">
        <v>925</v>
      </c>
      <c r="F540" t="s">
        <v>908</v>
      </c>
      <c r="G540" t="s">
        <v>915</v>
      </c>
      <c r="H540" t="s">
        <v>908</v>
      </c>
      <c r="I540" t="s">
        <v>917</v>
      </c>
      <c r="J540" s="2">
        <v>29.998346999999999</v>
      </c>
      <c r="K540" s="2">
        <v>32.639600000000002</v>
      </c>
      <c r="L540" s="2" t="str">
        <f t="shared" si="24"/>
        <v>30–35°C</v>
      </c>
      <c r="M540" s="3">
        <v>53.458300000000001</v>
      </c>
      <c r="N540" s="3" t="str">
        <f t="shared" si="25"/>
        <v>40–60%</v>
      </c>
      <c r="O540" s="2">
        <v>12.041307</v>
      </c>
      <c r="P540" s="2" t="str">
        <f t="shared" si="26"/>
        <v>10–15 km/h</v>
      </c>
      <c r="Q540" s="2">
        <v>2657</v>
      </c>
      <c r="R540" s="2">
        <v>4801</v>
      </c>
      <c r="S540" s="2">
        <v>7458</v>
      </c>
    </row>
    <row r="541" spans="1:19" x14ac:dyDescent="0.3">
      <c r="A541" s="2">
        <v>540</v>
      </c>
      <c r="B541" s="1" t="s">
        <v>784</v>
      </c>
      <c r="C541" t="s">
        <v>905</v>
      </c>
      <c r="D541">
        <v>2019</v>
      </c>
      <c r="E541" t="s">
        <v>925</v>
      </c>
      <c r="F541" t="s">
        <v>908</v>
      </c>
      <c r="G541" t="s">
        <v>916</v>
      </c>
      <c r="H541" t="s">
        <v>908</v>
      </c>
      <c r="I541" t="s">
        <v>917</v>
      </c>
      <c r="J541" s="2">
        <v>30.476652999999999</v>
      </c>
      <c r="K541" s="2">
        <v>33.712699999999998</v>
      </c>
      <c r="L541" s="2" t="str">
        <f t="shared" si="24"/>
        <v>30–35°C</v>
      </c>
      <c r="M541" s="3">
        <v>47.916699999999999</v>
      </c>
      <c r="N541" s="3" t="str">
        <f t="shared" si="25"/>
        <v>40–60%</v>
      </c>
      <c r="O541" s="2">
        <v>9.7501750000000005</v>
      </c>
      <c r="P541" s="2" t="str">
        <f t="shared" si="26"/>
        <v>5–10 km/h</v>
      </c>
      <c r="Q541" s="2">
        <v>2551</v>
      </c>
      <c r="R541" s="2">
        <v>4340</v>
      </c>
      <c r="S541" s="2">
        <v>6891</v>
      </c>
    </row>
    <row r="542" spans="1:19" x14ac:dyDescent="0.3">
      <c r="A542" s="2">
        <v>541</v>
      </c>
      <c r="B542" s="1" t="s">
        <v>785</v>
      </c>
      <c r="C542" t="s">
        <v>905</v>
      </c>
      <c r="D542">
        <v>2019</v>
      </c>
      <c r="E542" t="s">
        <v>925</v>
      </c>
      <c r="F542" t="s">
        <v>908</v>
      </c>
      <c r="G542" t="s">
        <v>910</v>
      </c>
      <c r="H542" t="s">
        <v>909</v>
      </c>
      <c r="I542" t="s">
        <v>917</v>
      </c>
      <c r="J542" s="2">
        <v>29.349153000000001</v>
      </c>
      <c r="K542" s="2">
        <v>32.702100000000002</v>
      </c>
      <c r="L542" s="2" t="str">
        <f t="shared" si="24"/>
        <v>30–35°C</v>
      </c>
      <c r="M542" s="3">
        <v>50.416699999999999</v>
      </c>
      <c r="N542" s="3" t="str">
        <f t="shared" si="25"/>
        <v>40–60%</v>
      </c>
      <c r="O542" s="2">
        <v>20.125661000000001</v>
      </c>
      <c r="P542" s="2" t="str">
        <f t="shared" si="26"/>
        <v>20–25 km/h</v>
      </c>
      <c r="Q542" s="2">
        <v>1139</v>
      </c>
      <c r="R542" s="2">
        <v>5640</v>
      </c>
      <c r="S542" s="2">
        <v>6779</v>
      </c>
    </row>
    <row r="543" spans="1:19" x14ac:dyDescent="0.3">
      <c r="A543" s="2">
        <v>542</v>
      </c>
      <c r="B543" s="1" t="s">
        <v>786</v>
      </c>
      <c r="C543" t="s">
        <v>905</v>
      </c>
      <c r="D543">
        <v>2019</v>
      </c>
      <c r="E543" t="s">
        <v>925</v>
      </c>
      <c r="F543" t="s">
        <v>908</v>
      </c>
      <c r="G543" t="s">
        <v>911</v>
      </c>
      <c r="H543" t="s">
        <v>909</v>
      </c>
      <c r="I543" t="s">
        <v>917</v>
      </c>
      <c r="J543" s="2">
        <v>25.864153000000002</v>
      </c>
      <c r="K543" s="2">
        <v>29.735199999999999</v>
      </c>
      <c r="L543" s="2" t="str">
        <f t="shared" si="24"/>
        <v>25–30°C</v>
      </c>
      <c r="M543" s="3">
        <v>37.333300000000001</v>
      </c>
      <c r="N543" s="3" t="str">
        <f t="shared" si="25"/>
        <v>20–40%</v>
      </c>
      <c r="O543" s="2">
        <v>23.292014000000002</v>
      </c>
      <c r="P543" s="2" t="str">
        <f t="shared" si="26"/>
        <v>20–25 km/h</v>
      </c>
      <c r="Q543" s="2">
        <v>1077</v>
      </c>
      <c r="R543" s="2">
        <v>6365</v>
      </c>
      <c r="S543" s="2">
        <v>7442</v>
      </c>
    </row>
    <row r="544" spans="1:19" x14ac:dyDescent="0.3">
      <c r="A544" s="2">
        <v>543</v>
      </c>
      <c r="B544" s="1" t="s">
        <v>787</v>
      </c>
      <c r="C544" t="s">
        <v>905</v>
      </c>
      <c r="D544">
        <v>2019</v>
      </c>
      <c r="E544" t="s">
        <v>925</v>
      </c>
      <c r="F544" t="s">
        <v>908</v>
      </c>
      <c r="G544" t="s">
        <v>912</v>
      </c>
      <c r="H544" t="s">
        <v>909</v>
      </c>
      <c r="I544" t="s">
        <v>917</v>
      </c>
      <c r="J544" s="2">
        <v>28.5975</v>
      </c>
      <c r="K544" s="2">
        <v>32.0396</v>
      </c>
      <c r="L544" s="2" t="str">
        <f t="shared" si="24"/>
        <v>30–35°C</v>
      </c>
      <c r="M544" s="3">
        <v>36</v>
      </c>
      <c r="N544" s="3" t="str">
        <f t="shared" si="25"/>
        <v>20–40%</v>
      </c>
      <c r="O544" s="2">
        <v>18.208925000000001</v>
      </c>
      <c r="P544" s="2" t="str">
        <f t="shared" si="26"/>
        <v>15–20 km/h</v>
      </c>
      <c r="Q544" s="2">
        <v>1077</v>
      </c>
      <c r="R544" s="2">
        <v>6258</v>
      </c>
      <c r="S544" s="2">
        <v>7335</v>
      </c>
    </row>
    <row r="545" spans="1:19" x14ac:dyDescent="0.3">
      <c r="A545" s="2">
        <v>544</v>
      </c>
      <c r="B545" s="1" t="s">
        <v>788</v>
      </c>
      <c r="C545" t="s">
        <v>905</v>
      </c>
      <c r="D545">
        <v>2019</v>
      </c>
      <c r="E545" t="s">
        <v>925</v>
      </c>
      <c r="F545" t="s">
        <v>908</v>
      </c>
      <c r="G545" t="s">
        <v>913</v>
      </c>
      <c r="H545" t="s">
        <v>909</v>
      </c>
      <c r="I545" t="s">
        <v>917</v>
      </c>
      <c r="J545" s="2">
        <v>30.715847</v>
      </c>
      <c r="K545" s="2">
        <v>33.775599999999997</v>
      </c>
      <c r="L545" s="2" t="str">
        <f t="shared" si="24"/>
        <v>30–35°C</v>
      </c>
      <c r="M545" s="3">
        <v>42.25</v>
      </c>
      <c r="N545" s="3" t="str">
        <f t="shared" si="25"/>
        <v>40–60%</v>
      </c>
      <c r="O545" s="2">
        <v>11.50055</v>
      </c>
      <c r="P545" s="2" t="str">
        <f t="shared" si="26"/>
        <v>10–15 km/h</v>
      </c>
      <c r="Q545" s="2">
        <v>921</v>
      </c>
      <c r="R545" s="2">
        <v>5958</v>
      </c>
      <c r="S545" s="2">
        <v>6879</v>
      </c>
    </row>
    <row r="546" spans="1:19" x14ac:dyDescent="0.3">
      <c r="A546" s="2">
        <v>545</v>
      </c>
      <c r="B546" s="1" t="s">
        <v>789</v>
      </c>
      <c r="C546" t="s">
        <v>905</v>
      </c>
      <c r="D546">
        <v>2019</v>
      </c>
      <c r="E546" t="s">
        <v>925</v>
      </c>
      <c r="F546" t="s">
        <v>908</v>
      </c>
      <c r="G546" t="s">
        <v>914</v>
      </c>
      <c r="H546" t="s">
        <v>909</v>
      </c>
      <c r="I546" t="s">
        <v>917</v>
      </c>
      <c r="J546" s="2">
        <v>34.200847000000003</v>
      </c>
      <c r="K546" s="2">
        <v>39.330649999999999</v>
      </c>
      <c r="L546" s="2" t="str">
        <f t="shared" si="24"/>
        <v>35–40°C</v>
      </c>
      <c r="M546" s="3">
        <v>48.875</v>
      </c>
      <c r="N546" s="3" t="str">
        <f t="shared" si="25"/>
        <v>40–60%</v>
      </c>
      <c r="O546" s="2">
        <v>11.082939</v>
      </c>
      <c r="P546" s="2" t="str">
        <f t="shared" si="26"/>
        <v>10–15 km/h</v>
      </c>
      <c r="Q546" s="2">
        <v>829</v>
      </c>
      <c r="R546" s="2">
        <v>4634</v>
      </c>
      <c r="S546" s="2">
        <v>5463</v>
      </c>
    </row>
    <row r="547" spans="1:19" x14ac:dyDescent="0.3">
      <c r="A547" s="2">
        <v>546</v>
      </c>
      <c r="B547" s="1" t="s">
        <v>790</v>
      </c>
      <c r="C547" t="s">
        <v>905</v>
      </c>
      <c r="D547">
        <v>2019</v>
      </c>
      <c r="E547" t="s">
        <v>925</v>
      </c>
      <c r="F547" t="s">
        <v>908</v>
      </c>
      <c r="G547" t="s">
        <v>915</v>
      </c>
      <c r="H547" t="s">
        <v>908</v>
      </c>
      <c r="I547" t="s">
        <v>917</v>
      </c>
      <c r="J547" s="2">
        <v>31.364999999999998</v>
      </c>
      <c r="K547" s="2">
        <v>34.375399999999999</v>
      </c>
      <c r="L547" s="2" t="str">
        <f t="shared" si="24"/>
        <v>30–35°C</v>
      </c>
      <c r="M547" s="3">
        <v>60.125</v>
      </c>
      <c r="N547" s="3" t="str">
        <f t="shared" si="25"/>
        <v>60–80%</v>
      </c>
      <c r="O547" s="2">
        <v>10.791757</v>
      </c>
      <c r="P547" s="2" t="str">
        <f t="shared" si="26"/>
        <v>10–15 km/h</v>
      </c>
      <c r="Q547" s="2">
        <v>1455</v>
      </c>
      <c r="R547" s="2">
        <v>4232</v>
      </c>
      <c r="S547" s="2">
        <v>5687</v>
      </c>
    </row>
    <row r="548" spans="1:19" x14ac:dyDescent="0.3">
      <c r="A548" s="2">
        <v>547</v>
      </c>
      <c r="B548" s="1">
        <v>43472</v>
      </c>
      <c r="C548" t="s">
        <v>905</v>
      </c>
      <c r="D548">
        <v>2019</v>
      </c>
      <c r="E548" t="s">
        <v>926</v>
      </c>
      <c r="F548" t="s">
        <v>908</v>
      </c>
      <c r="G548" t="s">
        <v>916</v>
      </c>
      <c r="H548" t="s">
        <v>908</v>
      </c>
      <c r="I548" t="s">
        <v>917</v>
      </c>
      <c r="J548" s="2">
        <v>33.449153000000003</v>
      </c>
      <c r="K548" s="2">
        <v>37.53145</v>
      </c>
      <c r="L548" s="2" t="str">
        <f t="shared" si="24"/>
        <v>35–40°C</v>
      </c>
      <c r="M548" s="3">
        <v>51.875</v>
      </c>
      <c r="N548" s="3" t="str">
        <f t="shared" si="25"/>
        <v>40–60%</v>
      </c>
      <c r="O548" s="2">
        <v>11.291442999999999</v>
      </c>
      <c r="P548" s="2" t="str">
        <f t="shared" si="26"/>
        <v>10–15 km/h</v>
      </c>
      <c r="Q548" s="2">
        <v>1421</v>
      </c>
      <c r="R548" s="2">
        <v>4110</v>
      </c>
      <c r="S548" s="2">
        <v>5531</v>
      </c>
    </row>
    <row r="549" spans="1:19" x14ac:dyDescent="0.3">
      <c r="A549" s="2">
        <v>548</v>
      </c>
      <c r="B549" s="1">
        <v>43503</v>
      </c>
      <c r="C549" t="s">
        <v>905</v>
      </c>
      <c r="D549">
        <v>2019</v>
      </c>
      <c r="E549" t="s">
        <v>926</v>
      </c>
      <c r="F549" t="s">
        <v>908</v>
      </c>
      <c r="G549" t="s">
        <v>910</v>
      </c>
      <c r="H549" t="s">
        <v>909</v>
      </c>
      <c r="I549" t="s">
        <v>917</v>
      </c>
      <c r="J549" s="2">
        <v>32.048347</v>
      </c>
      <c r="K549" s="2">
        <v>35.101900000000001</v>
      </c>
      <c r="L549" s="2" t="str">
        <f t="shared" si="24"/>
        <v>35–40°C</v>
      </c>
      <c r="M549" s="3">
        <v>44.708300000000001</v>
      </c>
      <c r="N549" s="3" t="str">
        <f t="shared" si="25"/>
        <v>40–60%</v>
      </c>
      <c r="O549" s="2">
        <v>13.082889</v>
      </c>
      <c r="P549" s="2" t="str">
        <f t="shared" si="26"/>
        <v>10–15 km/h</v>
      </c>
      <c r="Q549" s="2">
        <v>904</v>
      </c>
      <c r="R549" s="2">
        <v>5323</v>
      </c>
      <c r="S549" s="2">
        <v>6227</v>
      </c>
    </row>
    <row r="550" spans="1:19" x14ac:dyDescent="0.3">
      <c r="A550" s="2">
        <v>549</v>
      </c>
      <c r="B550" s="1">
        <v>43531</v>
      </c>
      <c r="C550" t="s">
        <v>905</v>
      </c>
      <c r="D550">
        <v>2019</v>
      </c>
      <c r="E550" t="s">
        <v>926</v>
      </c>
      <c r="F550" t="s">
        <v>908</v>
      </c>
      <c r="G550" t="s">
        <v>911</v>
      </c>
      <c r="H550" t="s">
        <v>909</v>
      </c>
      <c r="I550" t="s">
        <v>917</v>
      </c>
      <c r="J550" s="2">
        <v>32.014153</v>
      </c>
      <c r="K550" s="2">
        <v>35.1325</v>
      </c>
      <c r="L550" s="2" t="str">
        <f t="shared" si="24"/>
        <v>35–40°C</v>
      </c>
      <c r="M550" s="3">
        <v>49.208300000000001</v>
      </c>
      <c r="N550" s="3" t="str">
        <f t="shared" si="25"/>
        <v>40–60%</v>
      </c>
      <c r="O550" s="2">
        <v>8.4578790000000001</v>
      </c>
      <c r="P550" s="2" t="str">
        <f t="shared" si="26"/>
        <v>5–10 km/h</v>
      </c>
      <c r="Q550" s="2">
        <v>1052</v>
      </c>
      <c r="R550" s="2">
        <v>5608</v>
      </c>
      <c r="S550" s="2">
        <v>6660</v>
      </c>
    </row>
    <row r="551" spans="1:19" x14ac:dyDescent="0.3">
      <c r="A551" s="2">
        <v>550</v>
      </c>
      <c r="B551" s="1">
        <v>43562</v>
      </c>
      <c r="C551" t="s">
        <v>905</v>
      </c>
      <c r="D551">
        <v>2019</v>
      </c>
      <c r="E551" t="s">
        <v>926</v>
      </c>
      <c r="F551" t="s">
        <v>909</v>
      </c>
      <c r="G551" t="s">
        <v>912</v>
      </c>
      <c r="H551" t="s">
        <v>908</v>
      </c>
      <c r="I551" t="s">
        <v>917</v>
      </c>
      <c r="J551" s="2">
        <v>32.355846999999997</v>
      </c>
      <c r="K551" s="2">
        <v>36.616849999999999</v>
      </c>
      <c r="L551" s="2" t="str">
        <f t="shared" si="24"/>
        <v>35–40°C</v>
      </c>
      <c r="M551" s="3">
        <v>53.875</v>
      </c>
      <c r="N551" s="3" t="str">
        <f t="shared" si="25"/>
        <v>40–60%</v>
      </c>
      <c r="O551" s="2">
        <v>9.0416500000000006</v>
      </c>
      <c r="P551" s="2" t="str">
        <f t="shared" si="26"/>
        <v>5–10 km/h</v>
      </c>
      <c r="Q551" s="2">
        <v>2562</v>
      </c>
      <c r="R551" s="2">
        <v>4841</v>
      </c>
      <c r="S551" s="2">
        <v>7403</v>
      </c>
    </row>
    <row r="552" spans="1:19" x14ac:dyDescent="0.3">
      <c r="A552" s="2">
        <v>551</v>
      </c>
      <c r="B552" s="1">
        <v>43592</v>
      </c>
      <c r="C552" t="s">
        <v>905</v>
      </c>
      <c r="D552">
        <v>2019</v>
      </c>
      <c r="E552" t="s">
        <v>926</v>
      </c>
      <c r="F552" t="s">
        <v>908</v>
      </c>
      <c r="G552" t="s">
        <v>913</v>
      </c>
      <c r="H552" t="s">
        <v>909</v>
      </c>
      <c r="I552" t="s">
        <v>917</v>
      </c>
      <c r="J552" s="2">
        <v>33.927500000000002</v>
      </c>
      <c r="K552" s="2">
        <v>38.068350000000002</v>
      </c>
      <c r="L552" s="2" t="str">
        <f t="shared" si="24"/>
        <v>35–40°C</v>
      </c>
      <c r="M552" s="3">
        <v>45.791699999999999</v>
      </c>
      <c r="N552" s="3" t="str">
        <f t="shared" si="25"/>
        <v>40–60%</v>
      </c>
      <c r="O552" s="2">
        <v>12.999943</v>
      </c>
      <c r="P552" s="2" t="str">
        <f t="shared" si="26"/>
        <v>10–15 km/h</v>
      </c>
      <c r="Q552" s="2">
        <v>1405</v>
      </c>
      <c r="R552" s="2">
        <v>4836</v>
      </c>
      <c r="S552" s="2">
        <v>6241</v>
      </c>
    </row>
    <row r="553" spans="1:19" x14ac:dyDescent="0.3">
      <c r="A553" s="2">
        <v>552</v>
      </c>
      <c r="B553" s="1">
        <v>43623</v>
      </c>
      <c r="C553" t="s">
        <v>905</v>
      </c>
      <c r="D553">
        <v>2019</v>
      </c>
      <c r="E553" t="s">
        <v>926</v>
      </c>
      <c r="F553" t="s">
        <v>908</v>
      </c>
      <c r="G553" t="s">
        <v>914</v>
      </c>
      <c r="H553" t="s">
        <v>909</v>
      </c>
      <c r="I553" t="s">
        <v>917</v>
      </c>
      <c r="J553" s="2">
        <v>33.961652999999998</v>
      </c>
      <c r="K553" s="2">
        <v>37.626649999999998</v>
      </c>
      <c r="L553" s="2" t="str">
        <f t="shared" si="24"/>
        <v>35–40°C</v>
      </c>
      <c r="M553" s="3">
        <v>45.083300000000001</v>
      </c>
      <c r="N553" s="3" t="str">
        <f t="shared" si="25"/>
        <v>40–60%</v>
      </c>
      <c r="O553" s="2">
        <v>9.7915139999999994</v>
      </c>
      <c r="P553" s="2" t="str">
        <f t="shared" si="26"/>
        <v>5–10 km/h</v>
      </c>
      <c r="Q553" s="2">
        <v>1366</v>
      </c>
      <c r="R553" s="2">
        <v>4841</v>
      </c>
      <c r="S553" s="2">
        <v>6207</v>
      </c>
    </row>
    <row r="554" spans="1:19" x14ac:dyDescent="0.3">
      <c r="A554" s="2">
        <v>553</v>
      </c>
      <c r="B554" s="1">
        <v>43653</v>
      </c>
      <c r="C554" t="s">
        <v>905</v>
      </c>
      <c r="D554">
        <v>2019</v>
      </c>
      <c r="E554" t="s">
        <v>926</v>
      </c>
      <c r="F554" t="s">
        <v>908</v>
      </c>
      <c r="G554" t="s">
        <v>915</v>
      </c>
      <c r="H554" t="s">
        <v>908</v>
      </c>
      <c r="I554" t="s">
        <v>917</v>
      </c>
      <c r="J554" s="2">
        <v>35.328347000000001</v>
      </c>
      <c r="K554" s="2">
        <v>40.245649999999998</v>
      </c>
      <c r="L554" s="2" t="str">
        <f t="shared" si="24"/>
        <v>40–45°C</v>
      </c>
      <c r="M554" s="3">
        <v>49.208300000000001</v>
      </c>
      <c r="N554" s="3" t="str">
        <f t="shared" si="25"/>
        <v>40–60%</v>
      </c>
      <c r="O554" s="2">
        <v>10.958118000000001</v>
      </c>
      <c r="P554" s="2" t="str">
        <f t="shared" si="26"/>
        <v>10–15 km/h</v>
      </c>
      <c r="Q554" s="2">
        <v>1448</v>
      </c>
      <c r="R554" s="2">
        <v>3392</v>
      </c>
      <c r="S554" s="2">
        <v>4840</v>
      </c>
    </row>
    <row r="555" spans="1:19" x14ac:dyDescent="0.3">
      <c r="A555" s="2">
        <v>554</v>
      </c>
      <c r="B555" s="1">
        <v>43684</v>
      </c>
      <c r="C555" t="s">
        <v>905</v>
      </c>
      <c r="D555">
        <v>2019</v>
      </c>
      <c r="E555" t="s">
        <v>926</v>
      </c>
      <c r="F555" t="s">
        <v>908</v>
      </c>
      <c r="G555" t="s">
        <v>916</v>
      </c>
      <c r="H555" t="s">
        <v>908</v>
      </c>
      <c r="I555" t="s">
        <v>917</v>
      </c>
      <c r="J555" s="2">
        <v>33.722499999999997</v>
      </c>
      <c r="K555" s="2">
        <v>39.519799999999996</v>
      </c>
      <c r="L555" s="2" t="str">
        <f t="shared" si="24"/>
        <v>35–40°C</v>
      </c>
      <c r="M555" s="3">
        <v>57.375</v>
      </c>
      <c r="N555" s="3" t="str">
        <f t="shared" si="25"/>
        <v>40–60%</v>
      </c>
      <c r="O555" s="2">
        <v>8.4171429999999994</v>
      </c>
      <c r="P555" s="2" t="str">
        <f t="shared" si="26"/>
        <v>5–10 km/h</v>
      </c>
      <c r="Q555" s="2">
        <v>1203</v>
      </c>
      <c r="R555" s="2">
        <v>3469</v>
      </c>
      <c r="S555" s="2">
        <v>4672</v>
      </c>
    </row>
    <row r="556" spans="1:19" x14ac:dyDescent="0.3">
      <c r="A556" s="2">
        <v>555</v>
      </c>
      <c r="B556" s="1">
        <v>43715</v>
      </c>
      <c r="C556" t="s">
        <v>905</v>
      </c>
      <c r="D556">
        <v>2019</v>
      </c>
      <c r="E556" t="s">
        <v>926</v>
      </c>
      <c r="F556" t="s">
        <v>908</v>
      </c>
      <c r="G556" t="s">
        <v>910</v>
      </c>
      <c r="H556" t="s">
        <v>909</v>
      </c>
      <c r="I556" t="s">
        <v>918</v>
      </c>
      <c r="J556" s="2">
        <v>29.144152999999999</v>
      </c>
      <c r="K556" s="2">
        <v>32.7027</v>
      </c>
      <c r="L556" s="2" t="str">
        <f t="shared" si="24"/>
        <v>30–35°C</v>
      </c>
      <c r="M556" s="3">
        <v>68.333299999999994</v>
      </c>
      <c r="N556" s="3" t="str">
        <f t="shared" si="25"/>
        <v>60–80%</v>
      </c>
      <c r="O556" s="2">
        <v>12.125325</v>
      </c>
      <c r="P556" s="2" t="str">
        <f t="shared" si="26"/>
        <v>10–15 km/h</v>
      </c>
      <c r="Q556" s="2">
        <v>998</v>
      </c>
      <c r="R556" s="2">
        <v>5571</v>
      </c>
      <c r="S556" s="2">
        <v>6569</v>
      </c>
    </row>
    <row r="557" spans="1:19" x14ac:dyDescent="0.3">
      <c r="A557" s="2">
        <v>556</v>
      </c>
      <c r="B557" s="1">
        <v>43745</v>
      </c>
      <c r="C557" t="s">
        <v>905</v>
      </c>
      <c r="D557">
        <v>2019</v>
      </c>
      <c r="E557" t="s">
        <v>926</v>
      </c>
      <c r="F557" t="s">
        <v>908</v>
      </c>
      <c r="G557" t="s">
        <v>911</v>
      </c>
      <c r="H557" t="s">
        <v>909</v>
      </c>
      <c r="I557" t="s">
        <v>918</v>
      </c>
      <c r="J557" s="2">
        <v>29.554152999999999</v>
      </c>
      <c r="K557" s="2">
        <v>33.239800000000002</v>
      </c>
      <c r="L557" s="2" t="str">
        <f t="shared" si="24"/>
        <v>30–35°C</v>
      </c>
      <c r="M557" s="3">
        <v>66.75</v>
      </c>
      <c r="N557" s="3" t="str">
        <f t="shared" si="25"/>
        <v>60–80%</v>
      </c>
      <c r="O557" s="2">
        <v>10.166378999999999</v>
      </c>
      <c r="P557" s="2" t="str">
        <f t="shared" si="26"/>
        <v>10–15 km/h</v>
      </c>
      <c r="Q557" s="2">
        <v>954</v>
      </c>
      <c r="R557" s="2">
        <v>5336</v>
      </c>
      <c r="S557" s="2">
        <v>6290</v>
      </c>
    </row>
    <row r="558" spans="1:19" x14ac:dyDescent="0.3">
      <c r="A558" s="2">
        <v>557</v>
      </c>
      <c r="B558" s="1">
        <v>43776</v>
      </c>
      <c r="C558" t="s">
        <v>905</v>
      </c>
      <c r="D558">
        <v>2019</v>
      </c>
      <c r="E558" t="s">
        <v>926</v>
      </c>
      <c r="F558" t="s">
        <v>908</v>
      </c>
      <c r="G558" t="s">
        <v>912</v>
      </c>
      <c r="H558" t="s">
        <v>909</v>
      </c>
      <c r="I558" t="s">
        <v>917</v>
      </c>
      <c r="J558" s="2">
        <v>29.383347000000001</v>
      </c>
      <c r="K558" s="2">
        <v>32.513550000000002</v>
      </c>
      <c r="L558" s="2" t="str">
        <f t="shared" si="24"/>
        <v>30–35°C</v>
      </c>
      <c r="M558" s="3">
        <v>63.333300000000001</v>
      </c>
      <c r="N558" s="3" t="str">
        <f t="shared" si="25"/>
        <v>60–80%</v>
      </c>
      <c r="O558" s="2">
        <v>10.166111000000001</v>
      </c>
      <c r="P558" s="2" t="str">
        <f t="shared" si="26"/>
        <v>10–15 km/h</v>
      </c>
      <c r="Q558" s="2">
        <v>975</v>
      </c>
      <c r="R558" s="2">
        <v>6289</v>
      </c>
      <c r="S558" s="2">
        <v>7264</v>
      </c>
    </row>
    <row r="559" spans="1:19" x14ac:dyDescent="0.3">
      <c r="A559" s="2">
        <v>558</v>
      </c>
      <c r="B559" s="1">
        <v>43806</v>
      </c>
      <c r="C559" t="s">
        <v>905</v>
      </c>
      <c r="D559">
        <v>2019</v>
      </c>
      <c r="E559" t="s">
        <v>926</v>
      </c>
      <c r="F559" t="s">
        <v>908</v>
      </c>
      <c r="G559" t="s">
        <v>913</v>
      </c>
      <c r="H559" t="s">
        <v>909</v>
      </c>
      <c r="I559" t="s">
        <v>917</v>
      </c>
      <c r="J559" s="2">
        <v>29.349153000000001</v>
      </c>
      <c r="K559" s="2">
        <v>32.73415</v>
      </c>
      <c r="L559" s="2" t="str">
        <f t="shared" si="24"/>
        <v>30–35°C</v>
      </c>
      <c r="M559" s="3">
        <v>52.958300000000001</v>
      </c>
      <c r="N559" s="3" t="str">
        <f t="shared" si="25"/>
        <v>40–60%</v>
      </c>
      <c r="O559" s="2">
        <v>9.8339250000000007</v>
      </c>
      <c r="P559" s="2" t="str">
        <f t="shared" si="26"/>
        <v>5–10 km/h</v>
      </c>
      <c r="Q559" s="2">
        <v>1032</v>
      </c>
      <c r="R559" s="2">
        <v>6414</v>
      </c>
      <c r="S559" s="2">
        <v>7446</v>
      </c>
    </row>
    <row r="560" spans="1:19" x14ac:dyDescent="0.3">
      <c r="A560" s="2">
        <v>559</v>
      </c>
      <c r="B560" s="1" t="s">
        <v>791</v>
      </c>
      <c r="C560" t="s">
        <v>905</v>
      </c>
      <c r="D560">
        <v>2019</v>
      </c>
      <c r="E560" t="s">
        <v>926</v>
      </c>
      <c r="F560" t="s">
        <v>908</v>
      </c>
      <c r="G560" t="s">
        <v>914</v>
      </c>
      <c r="H560" t="s">
        <v>909</v>
      </c>
      <c r="I560" t="s">
        <v>918</v>
      </c>
      <c r="J560" s="2">
        <v>29.998346999999999</v>
      </c>
      <c r="K560" s="2">
        <v>33.396650000000001</v>
      </c>
      <c r="L560" s="2" t="str">
        <f t="shared" si="24"/>
        <v>30–35°C</v>
      </c>
      <c r="M560" s="3">
        <v>48.583300000000001</v>
      </c>
      <c r="N560" s="3" t="str">
        <f t="shared" si="25"/>
        <v>40–60%</v>
      </c>
      <c r="O560" s="2">
        <v>5.4169499999999999</v>
      </c>
      <c r="P560" s="2" t="str">
        <f t="shared" si="26"/>
        <v>5–10 km/h</v>
      </c>
      <c r="Q560" s="2">
        <v>1511</v>
      </c>
      <c r="R560" s="2">
        <v>5988</v>
      </c>
      <c r="S560" s="2">
        <v>7499</v>
      </c>
    </row>
    <row r="561" spans="1:19" x14ac:dyDescent="0.3">
      <c r="A561" s="2">
        <v>560</v>
      </c>
      <c r="B561" s="1" t="s">
        <v>792</v>
      </c>
      <c r="C561" t="s">
        <v>905</v>
      </c>
      <c r="D561">
        <v>2019</v>
      </c>
      <c r="E561" t="s">
        <v>926</v>
      </c>
      <c r="F561" t="s">
        <v>908</v>
      </c>
      <c r="G561" t="s">
        <v>915</v>
      </c>
      <c r="H561" t="s">
        <v>908</v>
      </c>
      <c r="I561" t="s">
        <v>918</v>
      </c>
      <c r="J561" s="2">
        <v>28.836652999999998</v>
      </c>
      <c r="K561" s="2">
        <v>33.302100000000003</v>
      </c>
      <c r="L561" s="2" t="str">
        <f t="shared" si="24"/>
        <v>30–35°C</v>
      </c>
      <c r="M561" s="3">
        <v>69.916700000000006</v>
      </c>
      <c r="N561" s="3" t="str">
        <f t="shared" si="25"/>
        <v>60–80%</v>
      </c>
      <c r="O561" s="2">
        <v>9.626493</v>
      </c>
      <c r="P561" s="2" t="str">
        <f t="shared" si="26"/>
        <v>5–10 km/h</v>
      </c>
      <c r="Q561" s="2">
        <v>2355</v>
      </c>
      <c r="R561" s="2">
        <v>4614</v>
      </c>
      <c r="S561" s="2">
        <v>6969</v>
      </c>
    </row>
    <row r="562" spans="1:19" x14ac:dyDescent="0.3">
      <c r="A562" s="2">
        <v>561</v>
      </c>
      <c r="B562" s="1" t="s">
        <v>793</v>
      </c>
      <c r="C562" t="s">
        <v>905</v>
      </c>
      <c r="D562">
        <v>2019</v>
      </c>
      <c r="E562" t="s">
        <v>926</v>
      </c>
      <c r="F562" t="s">
        <v>908</v>
      </c>
      <c r="G562" t="s">
        <v>916</v>
      </c>
      <c r="H562" t="s">
        <v>908</v>
      </c>
      <c r="I562" t="s">
        <v>917</v>
      </c>
      <c r="J562" s="2">
        <v>30.579153000000002</v>
      </c>
      <c r="K562" s="2">
        <v>35.259799999999998</v>
      </c>
      <c r="L562" s="2" t="str">
        <f t="shared" si="24"/>
        <v>35–40°C</v>
      </c>
      <c r="M562" s="3">
        <v>71.791700000000006</v>
      </c>
      <c r="N562" s="3" t="str">
        <f t="shared" si="25"/>
        <v>60–80%</v>
      </c>
      <c r="O562" s="2">
        <v>11.166689</v>
      </c>
      <c r="P562" s="2" t="str">
        <f t="shared" si="26"/>
        <v>10–15 km/h</v>
      </c>
      <c r="Q562" s="2">
        <v>1920</v>
      </c>
      <c r="R562" s="2">
        <v>4111</v>
      </c>
      <c r="S562" s="2">
        <v>6031</v>
      </c>
    </row>
    <row r="563" spans="1:19" x14ac:dyDescent="0.3">
      <c r="A563" s="2">
        <v>562</v>
      </c>
      <c r="B563" s="1" t="s">
        <v>794</v>
      </c>
      <c r="C563" t="s">
        <v>905</v>
      </c>
      <c r="D563">
        <v>2019</v>
      </c>
      <c r="E563" t="s">
        <v>926</v>
      </c>
      <c r="F563" t="s">
        <v>908</v>
      </c>
      <c r="G563" t="s">
        <v>910</v>
      </c>
      <c r="H563" t="s">
        <v>909</v>
      </c>
      <c r="I563" t="s">
        <v>917</v>
      </c>
      <c r="J563" s="2">
        <v>31.296652999999999</v>
      </c>
      <c r="K563" s="2">
        <v>36.206249999999997</v>
      </c>
      <c r="L563" s="2" t="str">
        <f t="shared" si="24"/>
        <v>35–40°C</v>
      </c>
      <c r="M563" s="3">
        <v>64.5</v>
      </c>
      <c r="N563" s="3" t="str">
        <f t="shared" si="25"/>
        <v>60–80%</v>
      </c>
      <c r="O563" s="2">
        <v>11.000529</v>
      </c>
      <c r="P563" s="2" t="str">
        <f t="shared" si="26"/>
        <v>10–15 km/h</v>
      </c>
      <c r="Q563" s="2">
        <v>1088</v>
      </c>
      <c r="R563" s="2">
        <v>5742</v>
      </c>
      <c r="S563" s="2">
        <v>6830</v>
      </c>
    </row>
    <row r="564" spans="1:19" x14ac:dyDescent="0.3">
      <c r="A564" s="2">
        <v>563</v>
      </c>
      <c r="B564" s="1" t="s">
        <v>795</v>
      </c>
      <c r="C564" t="s">
        <v>905</v>
      </c>
      <c r="D564">
        <v>2019</v>
      </c>
      <c r="E564" t="s">
        <v>926</v>
      </c>
      <c r="F564" t="s">
        <v>908</v>
      </c>
      <c r="G564" t="s">
        <v>911</v>
      </c>
      <c r="H564" t="s">
        <v>909</v>
      </c>
      <c r="I564" t="s">
        <v>917</v>
      </c>
      <c r="J564" s="2">
        <v>33.551653000000002</v>
      </c>
      <c r="K564" s="2">
        <v>37.784149999999997</v>
      </c>
      <c r="L564" s="2" t="str">
        <f t="shared" si="24"/>
        <v>35–40°C</v>
      </c>
      <c r="M564" s="3">
        <v>50.583300000000001</v>
      </c>
      <c r="N564" s="3" t="str">
        <f t="shared" si="25"/>
        <v>40–60%</v>
      </c>
      <c r="O564" s="2">
        <v>7.6667430000000003</v>
      </c>
      <c r="P564" s="2" t="str">
        <f t="shared" si="26"/>
        <v>5–10 km/h</v>
      </c>
      <c r="Q564" s="2">
        <v>921</v>
      </c>
      <c r="R564" s="2">
        <v>5865</v>
      </c>
      <c r="S564" s="2">
        <v>6786</v>
      </c>
    </row>
    <row r="565" spans="1:19" x14ac:dyDescent="0.3">
      <c r="A565" s="2">
        <v>564</v>
      </c>
      <c r="B565" s="1" t="s">
        <v>796</v>
      </c>
      <c r="C565" t="s">
        <v>905</v>
      </c>
      <c r="D565">
        <v>2019</v>
      </c>
      <c r="E565" t="s">
        <v>926</v>
      </c>
      <c r="F565" t="s">
        <v>908</v>
      </c>
      <c r="G565" t="s">
        <v>912</v>
      </c>
      <c r="H565" t="s">
        <v>909</v>
      </c>
      <c r="I565" t="s">
        <v>917</v>
      </c>
      <c r="J565" s="2">
        <v>32.526653000000003</v>
      </c>
      <c r="K565" s="2">
        <v>37.279150000000001</v>
      </c>
      <c r="L565" s="2" t="str">
        <f t="shared" si="24"/>
        <v>35–40°C</v>
      </c>
      <c r="M565" s="3">
        <v>57.708300000000001</v>
      </c>
      <c r="N565" s="3" t="str">
        <f t="shared" si="25"/>
        <v>40–60%</v>
      </c>
      <c r="O565" s="2">
        <v>9.2086140000000007</v>
      </c>
      <c r="P565" s="2" t="str">
        <f t="shared" si="26"/>
        <v>5–10 km/h</v>
      </c>
      <c r="Q565" s="2">
        <v>799</v>
      </c>
      <c r="R565" s="2">
        <v>4914</v>
      </c>
      <c r="S565" s="2">
        <v>5713</v>
      </c>
    </row>
    <row r="566" spans="1:19" x14ac:dyDescent="0.3">
      <c r="A566" s="2">
        <v>565</v>
      </c>
      <c r="B566" s="1" t="s">
        <v>797</v>
      </c>
      <c r="C566" t="s">
        <v>905</v>
      </c>
      <c r="D566">
        <v>2019</v>
      </c>
      <c r="E566" t="s">
        <v>926</v>
      </c>
      <c r="F566" t="s">
        <v>908</v>
      </c>
      <c r="G566" t="s">
        <v>913</v>
      </c>
      <c r="H566" t="s">
        <v>909</v>
      </c>
      <c r="I566" t="s">
        <v>917</v>
      </c>
      <c r="J566" s="2">
        <v>31.57</v>
      </c>
      <c r="K566" s="2">
        <v>35.732100000000003</v>
      </c>
      <c r="L566" s="2" t="str">
        <f t="shared" si="24"/>
        <v>35–40°C</v>
      </c>
      <c r="M566" s="3">
        <v>60.041699999999999</v>
      </c>
      <c r="N566" s="3" t="str">
        <f t="shared" si="25"/>
        <v>60–80%</v>
      </c>
      <c r="O566" s="2">
        <v>11.083743</v>
      </c>
      <c r="P566" s="2" t="str">
        <f t="shared" si="26"/>
        <v>10–15 km/h</v>
      </c>
      <c r="Q566" s="2">
        <v>888</v>
      </c>
      <c r="R566" s="2">
        <v>5703</v>
      </c>
      <c r="S566" s="2">
        <v>6591</v>
      </c>
    </row>
    <row r="567" spans="1:19" x14ac:dyDescent="0.3">
      <c r="A567" s="2">
        <v>566</v>
      </c>
      <c r="B567" s="1" t="s">
        <v>798</v>
      </c>
      <c r="C567" t="s">
        <v>905</v>
      </c>
      <c r="D567">
        <v>2019</v>
      </c>
      <c r="E567" t="s">
        <v>926</v>
      </c>
      <c r="F567" t="s">
        <v>908</v>
      </c>
      <c r="G567" t="s">
        <v>914</v>
      </c>
      <c r="H567" t="s">
        <v>909</v>
      </c>
      <c r="I567" t="s">
        <v>918</v>
      </c>
      <c r="J567" s="2">
        <v>27.299153</v>
      </c>
      <c r="K567" s="2">
        <v>30.651250000000001</v>
      </c>
      <c r="L567" s="2" t="str">
        <f t="shared" si="24"/>
        <v>30–35°C</v>
      </c>
      <c r="M567" s="3">
        <v>84.416700000000006</v>
      </c>
      <c r="N567" s="3" t="str">
        <f t="shared" si="25"/>
        <v>80–100%</v>
      </c>
      <c r="O567" s="2">
        <v>14.000788999999999</v>
      </c>
      <c r="P567" s="2" t="str">
        <f t="shared" si="26"/>
        <v>10–15 km/h</v>
      </c>
      <c r="Q567" s="2">
        <v>747</v>
      </c>
      <c r="R567" s="2">
        <v>5123</v>
      </c>
      <c r="S567" s="2">
        <v>5870</v>
      </c>
    </row>
    <row r="568" spans="1:19" x14ac:dyDescent="0.3">
      <c r="A568" s="2">
        <v>567</v>
      </c>
      <c r="B568" s="1" t="s">
        <v>799</v>
      </c>
      <c r="C568" t="s">
        <v>905</v>
      </c>
      <c r="D568">
        <v>2019</v>
      </c>
      <c r="E568" t="s">
        <v>926</v>
      </c>
      <c r="F568" t="s">
        <v>908</v>
      </c>
      <c r="G568" t="s">
        <v>915</v>
      </c>
      <c r="H568" t="s">
        <v>908</v>
      </c>
      <c r="I568" t="s">
        <v>919</v>
      </c>
      <c r="J568" s="2">
        <v>24.429152999999999</v>
      </c>
      <c r="K568" s="2">
        <v>27.4956</v>
      </c>
      <c r="L568" s="2" t="str">
        <f t="shared" si="24"/>
        <v>25–30°C</v>
      </c>
      <c r="M568" s="3">
        <v>86.541700000000006</v>
      </c>
      <c r="N568" s="3" t="str">
        <f t="shared" si="25"/>
        <v>80–100%</v>
      </c>
      <c r="O568" s="2">
        <v>14.2911</v>
      </c>
      <c r="P568" s="2" t="str">
        <f t="shared" si="26"/>
        <v>10–15 km/h</v>
      </c>
      <c r="Q568" s="2">
        <v>1264</v>
      </c>
      <c r="R568" s="2">
        <v>3195</v>
      </c>
      <c r="S568" s="2">
        <v>4459</v>
      </c>
    </row>
    <row r="569" spans="1:19" x14ac:dyDescent="0.3">
      <c r="A569" s="2">
        <v>568</v>
      </c>
      <c r="B569" s="1" t="s">
        <v>800</v>
      </c>
      <c r="C569" t="s">
        <v>905</v>
      </c>
      <c r="D569">
        <v>2019</v>
      </c>
      <c r="E569" t="s">
        <v>926</v>
      </c>
      <c r="F569" t="s">
        <v>908</v>
      </c>
      <c r="G569" t="s">
        <v>916</v>
      </c>
      <c r="H569" t="s">
        <v>908</v>
      </c>
      <c r="I569" t="s">
        <v>918</v>
      </c>
      <c r="J569" s="2">
        <v>27.3675</v>
      </c>
      <c r="K569" s="2">
        <v>31.15625</v>
      </c>
      <c r="L569" s="2" t="str">
        <f t="shared" si="24"/>
        <v>30–35°C</v>
      </c>
      <c r="M569" s="3">
        <v>76.25</v>
      </c>
      <c r="N569" s="3" t="str">
        <f t="shared" si="25"/>
        <v>60–80%</v>
      </c>
      <c r="O569" s="2">
        <v>6.2926935999999998</v>
      </c>
      <c r="P569" s="2" t="str">
        <f t="shared" si="26"/>
        <v>5–10 km/h</v>
      </c>
      <c r="Q569" s="2">
        <v>2544</v>
      </c>
      <c r="R569" s="2">
        <v>4866</v>
      </c>
      <c r="S569" s="2">
        <v>7410</v>
      </c>
    </row>
    <row r="570" spans="1:19" x14ac:dyDescent="0.3">
      <c r="A570" s="2">
        <v>569</v>
      </c>
      <c r="B570" s="1" t="s">
        <v>801</v>
      </c>
      <c r="C570" t="s">
        <v>905</v>
      </c>
      <c r="D570">
        <v>2019</v>
      </c>
      <c r="E570" t="s">
        <v>926</v>
      </c>
      <c r="F570" t="s">
        <v>908</v>
      </c>
      <c r="G570" t="s">
        <v>910</v>
      </c>
      <c r="H570" t="s">
        <v>909</v>
      </c>
      <c r="I570" t="s">
        <v>917</v>
      </c>
      <c r="J570" s="2">
        <v>30.408346999999999</v>
      </c>
      <c r="K570" s="2">
        <v>34.50085</v>
      </c>
      <c r="L570" s="2" t="str">
        <f t="shared" si="24"/>
        <v>30–35°C</v>
      </c>
      <c r="M570" s="3">
        <v>69.416700000000006</v>
      </c>
      <c r="N570" s="3" t="str">
        <f t="shared" si="25"/>
        <v>60–80%</v>
      </c>
      <c r="O570" s="2">
        <v>9.2917609999999993</v>
      </c>
      <c r="P570" s="2" t="str">
        <f t="shared" si="26"/>
        <v>5–10 km/h</v>
      </c>
      <c r="Q570" s="2">
        <v>1135</v>
      </c>
      <c r="R570" s="2">
        <v>5831</v>
      </c>
      <c r="S570" s="2">
        <v>6966</v>
      </c>
    </row>
    <row r="571" spans="1:19" x14ac:dyDescent="0.3">
      <c r="A571" s="2">
        <v>570</v>
      </c>
      <c r="B571" s="1" t="s">
        <v>802</v>
      </c>
      <c r="C571" t="s">
        <v>905</v>
      </c>
      <c r="D571">
        <v>2019</v>
      </c>
      <c r="E571" t="s">
        <v>926</v>
      </c>
      <c r="F571" t="s">
        <v>908</v>
      </c>
      <c r="G571" t="s">
        <v>911</v>
      </c>
      <c r="H571" t="s">
        <v>909</v>
      </c>
      <c r="I571" t="s">
        <v>917</v>
      </c>
      <c r="J571" s="2">
        <v>30.784153</v>
      </c>
      <c r="K571" s="2">
        <v>35.322499999999998</v>
      </c>
      <c r="L571" s="2" t="str">
        <f t="shared" si="24"/>
        <v>35–40°C</v>
      </c>
      <c r="M571" s="3">
        <v>65.5</v>
      </c>
      <c r="N571" s="3" t="str">
        <f t="shared" si="25"/>
        <v>60–80%</v>
      </c>
      <c r="O571" s="2">
        <v>14.167418</v>
      </c>
      <c r="P571" s="2" t="str">
        <f t="shared" si="26"/>
        <v>10–15 km/h</v>
      </c>
      <c r="Q571" s="2">
        <v>1140</v>
      </c>
      <c r="R571" s="2">
        <v>6452</v>
      </c>
      <c r="S571" s="2">
        <v>7592</v>
      </c>
    </row>
    <row r="572" spans="1:19" x14ac:dyDescent="0.3">
      <c r="A572" s="2">
        <v>571</v>
      </c>
      <c r="B572" s="1" t="s">
        <v>803</v>
      </c>
      <c r="C572" t="s">
        <v>905</v>
      </c>
      <c r="D572">
        <v>2019</v>
      </c>
      <c r="E572" t="s">
        <v>926</v>
      </c>
      <c r="F572" t="s">
        <v>908</v>
      </c>
      <c r="G572" t="s">
        <v>912</v>
      </c>
      <c r="H572" t="s">
        <v>909</v>
      </c>
      <c r="I572" t="s">
        <v>917</v>
      </c>
      <c r="J572" s="2">
        <v>29.690847000000002</v>
      </c>
      <c r="K572" s="2">
        <v>32.7027</v>
      </c>
      <c r="L572" s="2" t="str">
        <f t="shared" si="24"/>
        <v>30–35°C</v>
      </c>
      <c r="M572" s="3">
        <v>45</v>
      </c>
      <c r="N572" s="3" t="str">
        <f t="shared" si="25"/>
        <v>40–60%</v>
      </c>
      <c r="O572" s="2">
        <v>11.041600000000001</v>
      </c>
      <c r="P572" s="2" t="str">
        <f t="shared" si="26"/>
        <v>10–15 km/h</v>
      </c>
      <c r="Q572" s="2">
        <v>1383</v>
      </c>
      <c r="R572" s="2">
        <v>6790</v>
      </c>
      <c r="S572" s="2">
        <v>8173</v>
      </c>
    </row>
    <row r="573" spans="1:19" x14ac:dyDescent="0.3">
      <c r="A573" s="2">
        <v>572</v>
      </c>
      <c r="B573" s="1" t="s">
        <v>804</v>
      </c>
      <c r="C573" t="s">
        <v>905</v>
      </c>
      <c r="D573">
        <v>2019</v>
      </c>
      <c r="E573" t="s">
        <v>926</v>
      </c>
      <c r="F573" t="s">
        <v>908</v>
      </c>
      <c r="G573" t="s">
        <v>913</v>
      </c>
      <c r="H573" t="s">
        <v>909</v>
      </c>
      <c r="I573" t="s">
        <v>917</v>
      </c>
      <c r="J573" s="2">
        <v>31.843347000000001</v>
      </c>
      <c r="K573" s="2">
        <v>36.963149999999999</v>
      </c>
      <c r="L573" s="2" t="str">
        <f t="shared" si="24"/>
        <v>35–40°C</v>
      </c>
      <c r="M573" s="3">
        <v>59.666699999999999</v>
      </c>
      <c r="N573" s="3" t="str">
        <f t="shared" si="25"/>
        <v>40–60%</v>
      </c>
      <c r="O573" s="2">
        <v>19.082471000000002</v>
      </c>
      <c r="P573" s="2" t="str">
        <f t="shared" si="26"/>
        <v>15–20 km/h</v>
      </c>
      <c r="Q573" s="2">
        <v>1036</v>
      </c>
      <c r="R573" s="2">
        <v>5825</v>
      </c>
      <c r="S573" s="2">
        <v>6861</v>
      </c>
    </row>
    <row r="574" spans="1:19" x14ac:dyDescent="0.3">
      <c r="A574" s="2">
        <v>573</v>
      </c>
      <c r="B574" s="1" t="s">
        <v>805</v>
      </c>
      <c r="C574" t="s">
        <v>905</v>
      </c>
      <c r="D574">
        <v>2019</v>
      </c>
      <c r="E574" t="s">
        <v>926</v>
      </c>
      <c r="F574" t="s">
        <v>908</v>
      </c>
      <c r="G574" t="s">
        <v>914</v>
      </c>
      <c r="H574" t="s">
        <v>909</v>
      </c>
      <c r="I574" t="s">
        <v>917</v>
      </c>
      <c r="J574" s="2">
        <v>32.048347</v>
      </c>
      <c r="K574" s="2">
        <v>36.710850000000001</v>
      </c>
      <c r="L574" s="2" t="str">
        <f t="shared" si="24"/>
        <v>35–40°C</v>
      </c>
      <c r="M574" s="3">
        <v>59.458300000000001</v>
      </c>
      <c r="N574" s="3" t="str">
        <f t="shared" si="25"/>
        <v>40–60%</v>
      </c>
      <c r="O574" s="2">
        <v>10.250463999999999</v>
      </c>
      <c r="P574" s="2" t="str">
        <f t="shared" si="26"/>
        <v>10–15 km/h</v>
      </c>
      <c r="Q574" s="2">
        <v>1259</v>
      </c>
      <c r="R574" s="2">
        <v>5645</v>
      </c>
      <c r="S574" s="2">
        <v>6904</v>
      </c>
    </row>
    <row r="575" spans="1:19" x14ac:dyDescent="0.3">
      <c r="A575" s="2">
        <v>574</v>
      </c>
      <c r="B575" s="1" t="s">
        <v>806</v>
      </c>
      <c r="C575" t="s">
        <v>905</v>
      </c>
      <c r="D575">
        <v>2019</v>
      </c>
      <c r="E575" t="s">
        <v>926</v>
      </c>
      <c r="F575" t="s">
        <v>908</v>
      </c>
      <c r="G575" t="s">
        <v>915</v>
      </c>
      <c r="H575" t="s">
        <v>908</v>
      </c>
      <c r="I575" t="s">
        <v>917</v>
      </c>
      <c r="J575" s="2">
        <v>30.989153000000002</v>
      </c>
      <c r="K575" s="2">
        <v>34.880200000000002</v>
      </c>
      <c r="L575" s="2" t="str">
        <f t="shared" si="24"/>
        <v>30–35°C</v>
      </c>
      <c r="M575" s="3">
        <v>61.333300000000001</v>
      </c>
      <c r="N575" s="3" t="str">
        <f t="shared" si="25"/>
        <v>60–80%</v>
      </c>
      <c r="O575" s="2">
        <v>10.542450000000001</v>
      </c>
      <c r="P575" s="2" t="str">
        <f t="shared" si="26"/>
        <v>10–15 km/h</v>
      </c>
      <c r="Q575" s="2">
        <v>2234</v>
      </c>
      <c r="R575" s="2">
        <v>4451</v>
      </c>
      <c r="S575" s="2">
        <v>6685</v>
      </c>
    </row>
    <row r="576" spans="1:19" x14ac:dyDescent="0.3">
      <c r="A576" s="2">
        <v>575</v>
      </c>
      <c r="B576" s="1" t="s">
        <v>807</v>
      </c>
      <c r="C576" t="s">
        <v>905</v>
      </c>
      <c r="D576">
        <v>2019</v>
      </c>
      <c r="E576" t="s">
        <v>926</v>
      </c>
      <c r="F576" t="s">
        <v>908</v>
      </c>
      <c r="G576" t="s">
        <v>916</v>
      </c>
      <c r="H576" t="s">
        <v>908</v>
      </c>
      <c r="I576" t="s">
        <v>917</v>
      </c>
      <c r="J576" s="2">
        <v>29.588346999999999</v>
      </c>
      <c r="K576" s="2">
        <v>33.396650000000001</v>
      </c>
      <c r="L576" s="2" t="str">
        <f t="shared" si="24"/>
        <v>30–35°C</v>
      </c>
      <c r="M576" s="3">
        <v>62.375</v>
      </c>
      <c r="N576" s="3" t="str">
        <f t="shared" si="25"/>
        <v>60–80%</v>
      </c>
      <c r="O576" s="2">
        <v>11.416532</v>
      </c>
      <c r="P576" s="2" t="str">
        <f t="shared" si="26"/>
        <v>10–15 km/h</v>
      </c>
      <c r="Q576" s="2">
        <v>2153</v>
      </c>
      <c r="R576" s="2">
        <v>4444</v>
      </c>
      <c r="S576" s="2">
        <v>6597</v>
      </c>
    </row>
    <row r="577" spans="1:19" x14ac:dyDescent="0.3">
      <c r="A577" s="2">
        <v>576</v>
      </c>
      <c r="B577" s="1" t="s">
        <v>808</v>
      </c>
      <c r="C577" t="s">
        <v>905</v>
      </c>
      <c r="D577">
        <v>2019</v>
      </c>
      <c r="E577" t="s">
        <v>926</v>
      </c>
      <c r="F577" t="s">
        <v>908</v>
      </c>
      <c r="G577" t="s">
        <v>910</v>
      </c>
      <c r="H577" t="s">
        <v>909</v>
      </c>
      <c r="I577" t="s">
        <v>917</v>
      </c>
      <c r="J577" s="2">
        <v>29.964153</v>
      </c>
      <c r="K577" s="2">
        <v>34.24935</v>
      </c>
      <c r="L577" s="2" t="str">
        <f t="shared" si="24"/>
        <v>30–35°C</v>
      </c>
      <c r="M577" s="3">
        <v>66.875</v>
      </c>
      <c r="N577" s="3" t="str">
        <f t="shared" si="25"/>
        <v>60–80%</v>
      </c>
      <c r="O577" s="2">
        <v>10.292339</v>
      </c>
      <c r="P577" s="2" t="str">
        <f t="shared" si="26"/>
        <v>10–15 km/h</v>
      </c>
      <c r="Q577" s="2">
        <v>1040</v>
      </c>
      <c r="R577" s="2">
        <v>6065</v>
      </c>
      <c r="S577" s="2">
        <v>7105</v>
      </c>
    </row>
    <row r="578" spans="1:19" x14ac:dyDescent="0.3">
      <c r="A578" s="2">
        <v>577</v>
      </c>
      <c r="B578" s="1" t="s">
        <v>809</v>
      </c>
      <c r="C578" t="s">
        <v>905</v>
      </c>
      <c r="D578">
        <v>2019</v>
      </c>
      <c r="E578" t="s">
        <v>926</v>
      </c>
      <c r="F578" t="s">
        <v>908</v>
      </c>
      <c r="G578" t="s">
        <v>911</v>
      </c>
      <c r="H578" t="s">
        <v>909</v>
      </c>
      <c r="I578" t="s">
        <v>917</v>
      </c>
      <c r="J578" s="2">
        <v>29.246652999999998</v>
      </c>
      <c r="K578" s="2">
        <v>33.144799999999996</v>
      </c>
      <c r="L578" s="2" t="str">
        <f t="shared" ref="L578:L641" si="27">FLOOR(K578,5)&amp;"–"&amp;FLOOR(K578,5)+5&amp;"°C"</f>
        <v>30–35°C</v>
      </c>
      <c r="M578" s="3">
        <v>70.416700000000006</v>
      </c>
      <c r="N578" s="3" t="str">
        <f t="shared" ref="N578:N641" si="28">FLOOR(M578,20)&amp;"–"&amp;FLOOR(M578,20)+20&amp;"%"</f>
        <v>60–80%</v>
      </c>
      <c r="O578" s="2">
        <v>11.083475</v>
      </c>
      <c r="P578" s="2" t="str">
        <f t="shared" ref="P578:P641" si="29">FLOOR(O578,5)&amp;"–"&amp;FLOOR(O578,5)+5&amp;" km/h"</f>
        <v>10–15 km/h</v>
      </c>
      <c r="Q578" s="2">
        <v>968</v>
      </c>
      <c r="R578" s="2">
        <v>6248</v>
      </c>
      <c r="S578" s="2">
        <v>7216</v>
      </c>
    </row>
    <row r="579" spans="1:19" x14ac:dyDescent="0.3">
      <c r="A579" s="2">
        <v>578</v>
      </c>
      <c r="B579" s="1">
        <v>43473</v>
      </c>
      <c r="C579" t="s">
        <v>905</v>
      </c>
      <c r="D579">
        <v>2019</v>
      </c>
      <c r="E579" t="s">
        <v>927</v>
      </c>
      <c r="F579" t="s">
        <v>908</v>
      </c>
      <c r="G579" t="s">
        <v>912</v>
      </c>
      <c r="H579" t="s">
        <v>909</v>
      </c>
      <c r="I579" t="s">
        <v>917</v>
      </c>
      <c r="J579" s="2">
        <v>29.4175</v>
      </c>
      <c r="K579" s="2">
        <v>33.365400000000001</v>
      </c>
      <c r="L579" s="2" t="str">
        <f t="shared" si="27"/>
        <v>30–35°C</v>
      </c>
      <c r="M579" s="3">
        <v>67.75</v>
      </c>
      <c r="N579" s="3" t="str">
        <f t="shared" si="28"/>
        <v>60–80%</v>
      </c>
      <c r="O579" s="2">
        <v>9.4589929999999995</v>
      </c>
      <c r="P579" s="2" t="str">
        <f t="shared" si="29"/>
        <v>5–10 km/h</v>
      </c>
      <c r="Q579" s="2">
        <v>1074</v>
      </c>
      <c r="R579" s="2">
        <v>6506</v>
      </c>
      <c r="S579" s="2">
        <v>7580</v>
      </c>
    </row>
    <row r="580" spans="1:19" x14ac:dyDescent="0.3">
      <c r="A580" s="2">
        <v>579</v>
      </c>
      <c r="B580" s="1">
        <v>43504</v>
      </c>
      <c r="C580" t="s">
        <v>905</v>
      </c>
      <c r="D580">
        <v>2019</v>
      </c>
      <c r="E580" t="s">
        <v>927</v>
      </c>
      <c r="F580" t="s">
        <v>908</v>
      </c>
      <c r="G580" t="s">
        <v>913</v>
      </c>
      <c r="H580" t="s">
        <v>909</v>
      </c>
      <c r="I580" t="s">
        <v>917</v>
      </c>
      <c r="J580" s="2">
        <v>30.852499999999999</v>
      </c>
      <c r="K580" s="2">
        <v>35.354399999999998</v>
      </c>
      <c r="L580" s="2" t="str">
        <f t="shared" si="27"/>
        <v>35–40°C</v>
      </c>
      <c r="M580" s="3">
        <v>65.958299999999994</v>
      </c>
      <c r="N580" s="3" t="str">
        <f t="shared" si="28"/>
        <v>60–80%</v>
      </c>
      <c r="O580" s="2">
        <v>8.6667179999999995</v>
      </c>
      <c r="P580" s="2" t="str">
        <f t="shared" si="29"/>
        <v>5–10 km/h</v>
      </c>
      <c r="Q580" s="2">
        <v>983</v>
      </c>
      <c r="R580" s="2">
        <v>6278</v>
      </c>
      <c r="S580" s="2">
        <v>7261</v>
      </c>
    </row>
    <row r="581" spans="1:19" x14ac:dyDescent="0.3">
      <c r="A581" s="2">
        <v>580</v>
      </c>
      <c r="B581" s="1">
        <v>43532</v>
      </c>
      <c r="C581" t="s">
        <v>905</v>
      </c>
      <c r="D581">
        <v>2019</v>
      </c>
      <c r="E581" t="s">
        <v>927</v>
      </c>
      <c r="F581" t="s">
        <v>908</v>
      </c>
      <c r="G581" t="s">
        <v>914</v>
      </c>
      <c r="H581" t="s">
        <v>909</v>
      </c>
      <c r="I581" t="s">
        <v>918</v>
      </c>
      <c r="J581" s="2">
        <v>31.399152999999998</v>
      </c>
      <c r="K581" s="2">
        <v>36.143349999999998</v>
      </c>
      <c r="L581" s="2" t="str">
        <f t="shared" si="27"/>
        <v>35–40°C</v>
      </c>
      <c r="M581" s="3">
        <v>64.25</v>
      </c>
      <c r="N581" s="3" t="str">
        <f t="shared" si="28"/>
        <v>60–80%</v>
      </c>
      <c r="O581" s="2">
        <v>14.458064</v>
      </c>
      <c r="P581" s="2" t="str">
        <f t="shared" si="29"/>
        <v>10–15 km/h</v>
      </c>
      <c r="Q581" s="2">
        <v>1328</v>
      </c>
      <c r="R581" s="2">
        <v>5847</v>
      </c>
      <c r="S581" s="2">
        <v>7175</v>
      </c>
    </row>
    <row r="582" spans="1:19" x14ac:dyDescent="0.3">
      <c r="A582" s="2">
        <v>581</v>
      </c>
      <c r="B582" s="1">
        <v>43563</v>
      </c>
      <c r="C582" t="s">
        <v>905</v>
      </c>
      <c r="D582">
        <v>2019</v>
      </c>
      <c r="E582" t="s">
        <v>927</v>
      </c>
      <c r="F582" t="s">
        <v>908</v>
      </c>
      <c r="G582" t="s">
        <v>915</v>
      </c>
      <c r="H582" t="s">
        <v>908</v>
      </c>
      <c r="I582" t="s">
        <v>917</v>
      </c>
      <c r="J582" s="2">
        <v>32.526653000000003</v>
      </c>
      <c r="K582" s="2">
        <v>37.56335</v>
      </c>
      <c r="L582" s="2" t="str">
        <f t="shared" si="27"/>
        <v>35–40°C</v>
      </c>
      <c r="M582" s="3">
        <v>61.333300000000001</v>
      </c>
      <c r="N582" s="3" t="str">
        <f t="shared" si="28"/>
        <v>60–80%</v>
      </c>
      <c r="O582" s="2">
        <v>17.249686000000001</v>
      </c>
      <c r="P582" s="2" t="str">
        <f t="shared" si="29"/>
        <v>15–20 km/h</v>
      </c>
      <c r="Q582" s="2">
        <v>2345</v>
      </c>
      <c r="R582" s="2">
        <v>4479</v>
      </c>
      <c r="S582" s="2">
        <v>6824</v>
      </c>
    </row>
    <row r="583" spans="1:19" x14ac:dyDescent="0.3">
      <c r="A583" s="2">
        <v>582</v>
      </c>
      <c r="B583" s="1">
        <v>43593</v>
      </c>
      <c r="C583" t="s">
        <v>905</v>
      </c>
      <c r="D583">
        <v>2019</v>
      </c>
      <c r="E583" t="s">
        <v>927</v>
      </c>
      <c r="F583" t="s">
        <v>908</v>
      </c>
      <c r="G583" t="s">
        <v>916</v>
      </c>
      <c r="H583" t="s">
        <v>908</v>
      </c>
      <c r="I583" t="s">
        <v>917</v>
      </c>
      <c r="J583" s="2">
        <v>31.535847</v>
      </c>
      <c r="K583" s="2">
        <v>36.55395</v>
      </c>
      <c r="L583" s="2" t="str">
        <f t="shared" si="27"/>
        <v>35–40°C</v>
      </c>
      <c r="M583" s="3">
        <v>65.25</v>
      </c>
      <c r="N583" s="3" t="str">
        <f t="shared" si="28"/>
        <v>60–80%</v>
      </c>
      <c r="O583" s="2">
        <v>19.458207000000002</v>
      </c>
      <c r="P583" s="2" t="str">
        <f t="shared" si="29"/>
        <v>15–20 km/h</v>
      </c>
      <c r="Q583" s="2">
        <v>1707</v>
      </c>
      <c r="R583" s="2">
        <v>3757</v>
      </c>
      <c r="S583" s="2">
        <v>5464</v>
      </c>
    </row>
    <row r="584" spans="1:19" x14ac:dyDescent="0.3">
      <c r="A584" s="2">
        <v>583</v>
      </c>
      <c r="B584" s="1">
        <v>43624</v>
      </c>
      <c r="C584" t="s">
        <v>905</v>
      </c>
      <c r="D584">
        <v>2019</v>
      </c>
      <c r="E584" t="s">
        <v>927</v>
      </c>
      <c r="F584" t="s">
        <v>908</v>
      </c>
      <c r="G584" t="s">
        <v>910</v>
      </c>
      <c r="H584" t="s">
        <v>909</v>
      </c>
      <c r="I584" t="s">
        <v>918</v>
      </c>
      <c r="J584" s="2">
        <v>30.852499999999999</v>
      </c>
      <c r="K584" s="2">
        <v>35.512300000000003</v>
      </c>
      <c r="L584" s="2" t="str">
        <f t="shared" si="27"/>
        <v>35–40°C</v>
      </c>
      <c r="M584" s="3">
        <v>65.416700000000006</v>
      </c>
      <c r="N584" s="3" t="str">
        <f t="shared" si="28"/>
        <v>60–80%</v>
      </c>
      <c r="O584" s="2">
        <v>8.6667179999999995</v>
      </c>
      <c r="P584" s="2" t="str">
        <f t="shared" si="29"/>
        <v>5–10 km/h</v>
      </c>
      <c r="Q584" s="2">
        <v>1233</v>
      </c>
      <c r="R584" s="2">
        <v>5780</v>
      </c>
      <c r="S584" s="2">
        <v>7013</v>
      </c>
    </row>
    <row r="585" spans="1:19" x14ac:dyDescent="0.3">
      <c r="A585" s="2">
        <v>584</v>
      </c>
      <c r="B585" s="1">
        <v>43654</v>
      </c>
      <c r="C585" t="s">
        <v>905</v>
      </c>
      <c r="D585">
        <v>2019</v>
      </c>
      <c r="E585" t="s">
        <v>927</v>
      </c>
      <c r="F585" t="s">
        <v>908</v>
      </c>
      <c r="G585" t="s">
        <v>911</v>
      </c>
      <c r="H585" t="s">
        <v>909</v>
      </c>
      <c r="I585" t="s">
        <v>918</v>
      </c>
      <c r="J585" s="2">
        <v>30.169153000000001</v>
      </c>
      <c r="K585" s="2">
        <v>34.881050000000002</v>
      </c>
      <c r="L585" s="2" t="str">
        <f t="shared" si="27"/>
        <v>30–35°C</v>
      </c>
      <c r="M585" s="3">
        <v>70.375</v>
      </c>
      <c r="N585" s="3" t="str">
        <f t="shared" si="28"/>
        <v>60–80%</v>
      </c>
      <c r="O585" s="2">
        <v>7.8328360000000004</v>
      </c>
      <c r="P585" s="2" t="str">
        <f t="shared" si="29"/>
        <v>5–10 km/h</v>
      </c>
      <c r="Q585" s="2">
        <v>1278</v>
      </c>
      <c r="R585" s="2">
        <v>5995</v>
      </c>
      <c r="S585" s="2">
        <v>7273</v>
      </c>
    </row>
    <row r="586" spans="1:19" x14ac:dyDescent="0.3">
      <c r="A586" s="2">
        <v>585</v>
      </c>
      <c r="B586" s="1">
        <v>43685</v>
      </c>
      <c r="C586" t="s">
        <v>905</v>
      </c>
      <c r="D586">
        <v>2019</v>
      </c>
      <c r="E586" t="s">
        <v>927</v>
      </c>
      <c r="F586" t="s">
        <v>908</v>
      </c>
      <c r="G586" t="s">
        <v>912</v>
      </c>
      <c r="H586" t="s">
        <v>909</v>
      </c>
      <c r="I586" t="s">
        <v>918</v>
      </c>
      <c r="J586" s="2">
        <v>30.75</v>
      </c>
      <c r="K586" s="2">
        <v>35.385849999999998</v>
      </c>
      <c r="L586" s="2" t="str">
        <f t="shared" si="27"/>
        <v>35–40°C</v>
      </c>
      <c r="M586" s="3">
        <v>67.291700000000006</v>
      </c>
      <c r="N586" s="3" t="str">
        <f t="shared" si="28"/>
        <v>60–80%</v>
      </c>
      <c r="O586" s="2">
        <v>7.4169</v>
      </c>
      <c r="P586" s="2" t="str">
        <f t="shared" si="29"/>
        <v>5–10 km/h</v>
      </c>
      <c r="Q586" s="2">
        <v>1263</v>
      </c>
      <c r="R586" s="2">
        <v>6271</v>
      </c>
      <c r="S586" s="2">
        <v>7534</v>
      </c>
    </row>
    <row r="587" spans="1:19" x14ac:dyDescent="0.3">
      <c r="A587" s="2">
        <v>586</v>
      </c>
      <c r="B587" s="1">
        <v>43716</v>
      </c>
      <c r="C587" t="s">
        <v>905</v>
      </c>
      <c r="D587">
        <v>2019</v>
      </c>
      <c r="E587" t="s">
        <v>927</v>
      </c>
      <c r="F587" t="s">
        <v>908</v>
      </c>
      <c r="G587" t="s">
        <v>913</v>
      </c>
      <c r="H587" t="s">
        <v>909</v>
      </c>
      <c r="I587" t="s">
        <v>917</v>
      </c>
      <c r="J587" s="2">
        <v>30.989153000000002</v>
      </c>
      <c r="K587" s="2">
        <v>34.9754</v>
      </c>
      <c r="L587" s="2" t="str">
        <f t="shared" si="27"/>
        <v>30–35°C</v>
      </c>
      <c r="M587" s="3">
        <v>62.041699999999999</v>
      </c>
      <c r="N587" s="3" t="str">
        <f t="shared" si="28"/>
        <v>60–80%</v>
      </c>
      <c r="O587" s="2">
        <v>10.4587</v>
      </c>
      <c r="P587" s="2" t="str">
        <f t="shared" si="29"/>
        <v>10–15 km/h</v>
      </c>
      <c r="Q587" s="2">
        <v>1196</v>
      </c>
      <c r="R587" s="2">
        <v>6090</v>
      </c>
      <c r="S587" s="2">
        <v>7286</v>
      </c>
    </row>
    <row r="588" spans="1:19" x14ac:dyDescent="0.3">
      <c r="A588" s="2">
        <v>587</v>
      </c>
      <c r="B588" s="1">
        <v>43746</v>
      </c>
      <c r="C588" t="s">
        <v>905</v>
      </c>
      <c r="D588">
        <v>2019</v>
      </c>
      <c r="E588" t="s">
        <v>927</v>
      </c>
      <c r="F588" t="s">
        <v>908</v>
      </c>
      <c r="G588" t="s">
        <v>914</v>
      </c>
      <c r="H588" t="s">
        <v>909</v>
      </c>
      <c r="I588" t="s">
        <v>918</v>
      </c>
      <c r="J588" s="2">
        <v>29.349153000000001</v>
      </c>
      <c r="K588" s="2">
        <v>33.397100000000002</v>
      </c>
      <c r="L588" s="2" t="str">
        <f t="shared" si="27"/>
        <v>30–35°C</v>
      </c>
      <c r="M588" s="3">
        <v>71.583299999999994</v>
      </c>
      <c r="N588" s="3" t="str">
        <f t="shared" si="28"/>
        <v>60–80%</v>
      </c>
      <c r="O588" s="2">
        <v>16.000471000000001</v>
      </c>
      <c r="P588" s="2" t="str">
        <f t="shared" si="29"/>
        <v>15–20 km/h</v>
      </c>
      <c r="Q588" s="2">
        <v>1065</v>
      </c>
      <c r="R588" s="2">
        <v>4721</v>
      </c>
      <c r="S588" s="2">
        <v>5786</v>
      </c>
    </row>
    <row r="589" spans="1:19" x14ac:dyDescent="0.3">
      <c r="A589" s="2">
        <v>588</v>
      </c>
      <c r="B589" s="1">
        <v>43777</v>
      </c>
      <c r="C589" t="s">
        <v>905</v>
      </c>
      <c r="D589">
        <v>2019</v>
      </c>
      <c r="E589" t="s">
        <v>927</v>
      </c>
      <c r="F589" t="s">
        <v>908</v>
      </c>
      <c r="G589" t="s">
        <v>915</v>
      </c>
      <c r="H589" t="s">
        <v>908</v>
      </c>
      <c r="I589" t="s">
        <v>918</v>
      </c>
      <c r="J589" s="2">
        <v>28.392499999999998</v>
      </c>
      <c r="K589" s="2">
        <v>31.913350000000001</v>
      </c>
      <c r="L589" s="2" t="str">
        <f t="shared" si="27"/>
        <v>30–35°C</v>
      </c>
      <c r="M589" s="3">
        <v>73.291700000000006</v>
      </c>
      <c r="N589" s="3" t="str">
        <f t="shared" si="28"/>
        <v>60–80%</v>
      </c>
      <c r="O589" s="2">
        <v>13.834092999999999</v>
      </c>
      <c r="P589" s="2" t="str">
        <f t="shared" si="29"/>
        <v>10–15 km/h</v>
      </c>
      <c r="Q589" s="2">
        <v>2247</v>
      </c>
      <c r="R589" s="2">
        <v>4052</v>
      </c>
      <c r="S589" s="2">
        <v>6299</v>
      </c>
    </row>
    <row r="590" spans="1:19" x14ac:dyDescent="0.3">
      <c r="A590" s="2">
        <v>589</v>
      </c>
      <c r="B590" s="1">
        <v>43807</v>
      </c>
      <c r="C590" t="s">
        <v>905</v>
      </c>
      <c r="D590">
        <v>2019</v>
      </c>
      <c r="E590" t="s">
        <v>927</v>
      </c>
      <c r="F590" t="s">
        <v>908</v>
      </c>
      <c r="G590" t="s">
        <v>916</v>
      </c>
      <c r="H590" t="s">
        <v>908</v>
      </c>
      <c r="I590" t="s">
        <v>917</v>
      </c>
      <c r="J590" s="2">
        <v>28.734152999999999</v>
      </c>
      <c r="K590" s="2">
        <v>32.228949999999998</v>
      </c>
      <c r="L590" s="2" t="str">
        <f t="shared" si="27"/>
        <v>30–35°C</v>
      </c>
      <c r="M590" s="3">
        <v>53.041699999999999</v>
      </c>
      <c r="N590" s="3" t="str">
        <f t="shared" si="28"/>
        <v>40–60%</v>
      </c>
      <c r="O590" s="2">
        <v>8.208304</v>
      </c>
      <c r="P590" s="2" t="str">
        <f t="shared" si="29"/>
        <v>5–10 km/h</v>
      </c>
      <c r="Q590" s="2">
        <v>2182</v>
      </c>
      <c r="R590" s="2">
        <v>4362</v>
      </c>
      <c r="S590" s="2">
        <v>6544</v>
      </c>
    </row>
    <row r="591" spans="1:19" x14ac:dyDescent="0.3">
      <c r="A591" s="2">
        <v>590</v>
      </c>
      <c r="B591" s="1" t="s">
        <v>810</v>
      </c>
      <c r="C591" t="s">
        <v>905</v>
      </c>
      <c r="D591">
        <v>2019</v>
      </c>
      <c r="E591" t="s">
        <v>927</v>
      </c>
      <c r="F591" t="s">
        <v>908</v>
      </c>
      <c r="G591" t="s">
        <v>910</v>
      </c>
      <c r="H591" t="s">
        <v>909</v>
      </c>
      <c r="I591" t="s">
        <v>917</v>
      </c>
      <c r="J591" s="2">
        <v>29.554152999999999</v>
      </c>
      <c r="K591" s="2">
        <v>33.112699999999997</v>
      </c>
      <c r="L591" s="2" t="str">
        <f t="shared" si="27"/>
        <v>30–35°C</v>
      </c>
      <c r="M591" s="3">
        <v>54.541699999999999</v>
      </c>
      <c r="N591" s="3" t="str">
        <f t="shared" si="28"/>
        <v>40–60%</v>
      </c>
      <c r="O591" s="2">
        <v>9.1262039999999995</v>
      </c>
      <c r="P591" s="2" t="str">
        <f t="shared" si="29"/>
        <v>5–10 km/h</v>
      </c>
      <c r="Q591" s="2">
        <v>1207</v>
      </c>
      <c r="R591" s="2">
        <v>5676</v>
      </c>
      <c r="S591" s="2">
        <v>6883</v>
      </c>
    </row>
    <row r="592" spans="1:19" x14ac:dyDescent="0.3">
      <c r="A592" s="2">
        <v>591</v>
      </c>
      <c r="B592" s="1" t="s">
        <v>811</v>
      </c>
      <c r="C592" t="s">
        <v>905</v>
      </c>
      <c r="D592">
        <v>2019</v>
      </c>
      <c r="E592" t="s">
        <v>927</v>
      </c>
      <c r="F592" t="s">
        <v>908</v>
      </c>
      <c r="G592" t="s">
        <v>911</v>
      </c>
      <c r="H592" t="s">
        <v>909</v>
      </c>
      <c r="I592" t="s">
        <v>917</v>
      </c>
      <c r="J592" s="2">
        <v>29.793347000000001</v>
      </c>
      <c r="K592" s="2">
        <v>33.838949999999997</v>
      </c>
      <c r="L592" s="2" t="str">
        <f t="shared" si="27"/>
        <v>30–35°C</v>
      </c>
      <c r="M592" s="3">
        <v>68.666700000000006</v>
      </c>
      <c r="N592" s="3" t="str">
        <f t="shared" si="28"/>
        <v>60–80%</v>
      </c>
      <c r="O592" s="2">
        <v>11.333586</v>
      </c>
      <c r="P592" s="2" t="str">
        <f t="shared" si="29"/>
        <v>10–15 km/h</v>
      </c>
      <c r="Q592" s="2">
        <v>1128</v>
      </c>
      <c r="R592" s="2">
        <v>5656</v>
      </c>
      <c r="S592" s="2">
        <v>6784</v>
      </c>
    </row>
    <row r="593" spans="1:19" x14ac:dyDescent="0.3">
      <c r="A593" s="2">
        <v>592</v>
      </c>
      <c r="B593" s="1" t="s">
        <v>812</v>
      </c>
      <c r="C593" t="s">
        <v>905</v>
      </c>
      <c r="D593">
        <v>2019</v>
      </c>
      <c r="E593" t="s">
        <v>927</v>
      </c>
      <c r="F593" t="s">
        <v>908</v>
      </c>
      <c r="G593" t="s">
        <v>912</v>
      </c>
      <c r="H593" t="s">
        <v>909</v>
      </c>
      <c r="I593" t="s">
        <v>917</v>
      </c>
      <c r="J593" s="2">
        <v>28.973347</v>
      </c>
      <c r="K593" s="2">
        <v>32.70185</v>
      </c>
      <c r="L593" s="2" t="str">
        <f t="shared" si="27"/>
        <v>30–35°C</v>
      </c>
      <c r="M593" s="3">
        <v>61.958300000000001</v>
      </c>
      <c r="N593" s="3" t="str">
        <f t="shared" si="28"/>
        <v>60–80%</v>
      </c>
      <c r="O593" s="2">
        <v>11.374656999999999</v>
      </c>
      <c r="P593" s="2" t="str">
        <f t="shared" si="29"/>
        <v>10–15 km/h</v>
      </c>
      <c r="Q593" s="2">
        <v>1198</v>
      </c>
      <c r="R593" s="2">
        <v>6149</v>
      </c>
      <c r="S593" s="2">
        <v>7347</v>
      </c>
    </row>
    <row r="594" spans="1:19" x14ac:dyDescent="0.3">
      <c r="A594" s="2">
        <v>593</v>
      </c>
      <c r="B594" s="1" t="s">
        <v>813</v>
      </c>
      <c r="C594" t="s">
        <v>905</v>
      </c>
      <c r="D594">
        <v>2019</v>
      </c>
      <c r="E594" t="s">
        <v>927</v>
      </c>
      <c r="F594" t="s">
        <v>908</v>
      </c>
      <c r="G594" t="s">
        <v>913</v>
      </c>
      <c r="H594" t="s">
        <v>909</v>
      </c>
      <c r="I594" t="s">
        <v>917</v>
      </c>
      <c r="J594" s="2">
        <v>29.485847</v>
      </c>
      <c r="K594" s="2">
        <v>32.734400000000001</v>
      </c>
      <c r="L594" s="2" t="str">
        <f t="shared" si="27"/>
        <v>30–35°C</v>
      </c>
      <c r="M594" s="3">
        <v>51.916699999999999</v>
      </c>
      <c r="N594" s="3" t="str">
        <f t="shared" si="28"/>
        <v>40–60%</v>
      </c>
      <c r="O594" s="2">
        <v>9.5003320000000002</v>
      </c>
      <c r="P594" s="2" t="str">
        <f t="shared" si="29"/>
        <v>5–10 km/h</v>
      </c>
      <c r="Q594" s="2">
        <v>1338</v>
      </c>
      <c r="R594" s="2">
        <v>6267</v>
      </c>
      <c r="S594" s="2">
        <v>7605</v>
      </c>
    </row>
    <row r="595" spans="1:19" x14ac:dyDescent="0.3">
      <c r="A595" s="2">
        <v>594</v>
      </c>
      <c r="B595" s="1" t="s">
        <v>814</v>
      </c>
      <c r="C595" t="s">
        <v>905</v>
      </c>
      <c r="D595">
        <v>2019</v>
      </c>
      <c r="E595" t="s">
        <v>927</v>
      </c>
      <c r="F595" t="s">
        <v>908</v>
      </c>
      <c r="G595" t="s">
        <v>914</v>
      </c>
      <c r="H595" t="s">
        <v>909</v>
      </c>
      <c r="I595" t="s">
        <v>917</v>
      </c>
      <c r="J595" s="2">
        <v>29.656652999999999</v>
      </c>
      <c r="K595" s="2">
        <v>12.12</v>
      </c>
      <c r="L595" s="2" t="str">
        <f t="shared" si="27"/>
        <v>10–15°C</v>
      </c>
      <c r="M595" s="3">
        <v>57.083300000000001</v>
      </c>
      <c r="N595" s="3" t="str">
        <f t="shared" si="28"/>
        <v>40–60%</v>
      </c>
      <c r="O595" s="2">
        <v>15.500718000000001</v>
      </c>
      <c r="P595" s="2" t="str">
        <f t="shared" si="29"/>
        <v>15–20 km/h</v>
      </c>
      <c r="Q595" s="2">
        <v>1483</v>
      </c>
      <c r="R595" s="2">
        <v>5665</v>
      </c>
      <c r="S595" s="2">
        <v>7148</v>
      </c>
    </row>
    <row r="596" spans="1:19" x14ac:dyDescent="0.3">
      <c r="A596" s="2">
        <v>595</v>
      </c>
      <c r="B596" s="1" t="s">
        <v>815</v>
      </c>
      <c r="C596" t="s">
        <v>905</v>
      </c>
      <c r="D596">
        <v>2019</v>
      </c>
      <c r="E596" t="s">
        <v>927</v>
      </c>
      <c r="F596" t="s">
        <v>908</v>
      </c>
      <c r="G596" t="s">
        <v>915</v>
      </c>
      <c r="H596" t="s">
        <v>908</v>
      </c>
      <c r="I596" t="s">
        <v>917</v>
      </c>
      <c r="J596" s="2">
        <v>27.811653</v>
      </c>
      <c r="K596" s="2">
        <v>30.903549999999999</v>
      </c>
      <c r="L596" s="2" t="str">
        <f t="shared" si="27"/>
        <v>30–35°C</v>
      </c>
      <c r="M596" s="3">
        <v>60.333300000000001</v>
      </c>
      <c r="N596" s="3" t="str">
        <f t="shared" si="28"/>
        <v>60–80%</v>
      </c>
      <c r="O596" s="2">
        <v>11.917089000000001</v>
      </c>
      <c r="P596" s="2" t="str">
        <f t="shared" si="29"/>
        <v>10–15 km/h</v>
      </c>
      <c r="Q596" s="2">
        <v>2827</v>
      </c>
      <c r="R596" s="2">
        <v>5038</v>
      </c>
      <c r="S596" s="2">
        <v>7865</v>
      </c>
    </row>
    <row r="597" spans="1:19" x14ac:dyDescent="0.3">
      <c r="A597" s="2">
        <v>596</v>
      </c>
      <c r="B597" s="1" t="s">
        <v>816</v>
      </c>
      <c r="C597" t="s">
        <v>905</v>
      </c>
      <c r="D597">
        <v>2019</v>
      </c>
      <c r="E597" t="s">
        <v>927</v>
      </c>
      <c r="F597" t="s">
        <v>908</v>
      </c>
      <c r="G597" t="s">
        <v>916</v>
      </c>
      <c r="H597" t="s">
        <v>908</v>
      </c>
      <c r="I597" t="s">
        <v>918</v>
      </c>
      <c r="J597" s="2">
        <v>26.069153</v>
      </c>
      <c r="K597" s="2">
        <v>30.177700000000002</v>
      </c>
      <c r="L597" s="2" t="str">
        <f t="shared" si="27"/>
        <v>30–35°C</v>
      </c>
      <c r="M597" s="3">
        <v>71.166700000000006</v>
      </c>
      <c r="N597" s="3" t="str">
        <f t="shared" si="28"/>
        <v>60–80%</v>
      </c>
      <c r="O597" s="2">
        <v>5.7921500000000004</v>
      </c>
      <c r="P597" s="2" t="str">
        <f t="shared" si="29"/>
        <v>5–10 km/h</v>
      </c>
      <c r="Q597" s="2">
        <v>1208</v>
      </c>
      <c r="R597" s="2">
        <v>3341</v>
      </c>
      <c r="S597" s="2">
        <v>4549</v>
      </c>
    </row>
    <row r="598" spans="1:19" x14ac:dyDescent="0.3">
      <c r="A598" s="2">
        <v>597</v>
      </c>
      <c r="B598" s="1" t="s">
        <v>817</v>
      </c>
      <c r="C598" t="s">
        <v>905</v>
      </c>
      <c r="D598">
        <v>2019</v>
      </c>
      <c r="E598" t="s">
        <v>927</v>
      </c>
      <c r="F598" t="s">
        <v>908</v>
      </c>
      <c r="G598" t="s">
        <v>910</v>
      </c>
      <c r="H598" t="s">
        <v>909</v>
      </c>
      <c r="I598" t="s">
        <v>918</v>
      </c>
      <c r="J598" s="2">
        <v>26.069153</v>
      </c>
      <c r="K598" s="2">
        <v>29.798349999999999</v>
      </c>
      <c r="L598" s="2" t="str">
        <f t="shared" si="27"/>
        <v>25–30°C</v>
      </c>
      <c r="M598" s="3">
        <v>73.416700000000006</v>
      </c>
      <c r="N598" s="3" t="str">
        <f t="shared" si="28"/>
        <v>60–80%</v>
      </c>
      <c r="O598" s="2">
        <v>8.7085930000000005</v>
      </c>
      <c r="P598" s="2" t="str">
        <f t="shared" si="29"/>
        <v>5–10 km/h</v>
      </c>
      <c r="Q598" s="2">
        <v>1026</v>
      </c>
      <c r="R598" s="2">
        <v>5504</v>
      </c>
      <c r="S598" s="2">
        <v>6530</v>
      </c>
    </row>
    <row r="599" spans="1:19" x14ac:dyDescent="0.3">
      <c r="A599" s="2">
        <v>598</v>
      </c>
      <c r="B599" s="1" t="s">
        <v>818</v>
      </c>
      <c r="C599" t="s">
        <v>905</v>
      </c>
      <c r="D599">
        <v>2019</v>
      </c>
      <c r="E599" t="s">
        <v>927</v>
      </c>
      <c r="F599" t="s">
        <v>908</v>
      </c>
      <c r="G599" t="s">
        <v>911</v>
      </c>
      <c r="H599" t="s">
        <v>909</v>
      </c>
      <c r="I599" t="s">
        <v>917</v>
      </c>
      <c r="J599" s="2">
        <v>26.615846999999999</v>
      </c>
      <c r="K599" s="2">
        <v>30.05125</v>
      </c>
      <c r="L599" s="2" t="str">
        <f t="shared" si="27"/>
        <v>30–35°C</v>
      </c>
      <c r="M599" s="3">
        <v>67.375</v>
      </c>
      <c r="N599" s="3" t="str">
        <f t="shared" si="28"/>
        <v>60–80%</v>
      </c>
      <c r="O599" s="2">
        <v>4.8756436000000001</v>
      </c>
      <c r="P599" s="2" t="str">
        <f t="shared" si="29"/>
        <v>0–5 km/h</v>
      </c>
      <c r="Q599" s="2">
        <v>1081</v>
      </c>
      <c r="R599" s="2">
        <v>5925</v>
      </c>
      <c r="S599" s="2">
        <v>7006</v>
      </c>
    </row>
    <row r="600" spans="1:19" x14ac:dyDescent="0.3">
      <c r="A600" s="2">
        <v>599</v>
      </c>
      <c r="B600" s="1" t="s">
        <v>819</v>
      </c>
      <c r="C600" t="s">
        <v>905</v>
      </c>
      <c r="D600">
        <v>2019</v>
      </c>
      <c r="E600" t="s">
        <v>927</v>
      </c>
      <c r="F600" t="s">
        <v>908</v>
      </c>
      <c r="G600" t="s">
        <v>912</v>
      </c>
      <c r="H600" t="s">
        <v>909</v>
      </c>
      <c r="I600" t="s">
        <v>917</v>
      </c>
      <c r="J600" s="2">
        <v>27.3675</v>
      </c>
      <c r="K600" s="2">
        <v>31.092700000000001</v>
      </c>
      <c r="L600" s="2" t="str">
        <f t="shared" si="27"/>
        <v>30–35°C</v>
      </c>
      <c r="M600" s="3">
        <v>67.708299999999994</v>
      </c>
      <c r="N600" s="3" t="str">
        <f t="shared" si="28"/>
        <v>60–80%</v>
      </c>
      <c r="O600" s="2">
        <v>4.7089810999999999</v>
      </c>
      <c r="P600" s="2" t="str">
        <f t="shared" si="29"/>
        <v>0–5 km/h</v>
      </c>
      <c r="Q600" s="2">
        <v>1094</v>
      </c>
      <c r="R600" s="2">
        <v>6281</v>
      </c>
      <c r="S600" s="2">
        <v>7375</v>
      </c>
    </row>
    <row r="601" spans="1:19" x14ac:dyDescent="0.3">
      <c r="A601" s="2">
        <v>600</v>
      </c>
      <c r="B601" s="1" t="s">
        <v>820</v>
      </c>
      <c r="C601" t="s">
        <v>905</v>
      </c>
      <c r="D601">
        <v>2019</v>
      </c>
      <c r="E601" t="s">
        <v>927</v>
      </c>
      <c r="F601" t="s">
        <v>908</v>
      </c>
      <c r="G601" t="s">
        <v>913</v>
      </c>
      <c r="H601" t="s">
        <v>909</v>
      </c>
      <c r="I601" t="s">
        <v>917</v>
      </c>
      <c r="J601" s="2">
        <v>28.529153000000001</v>
      </c>
      <c r="K601" s="2">
        <v>31.8504</v>
      </c>
      <c r="L601" s="2" t="str">
        <f t="shared" si="27"/>
        <v>30–35°C</v>
      </c>
      <c r="M601" s="3">
        <v>63.583300000000001</v>
      </c>
      <c r="N601" s="3" t="str">
        <f t="shared" si="28"/>
        <v>60–80%</v>
      </c>
      <c r="O601" s="2">
        <v>5.6679186000000001</v>
      </c>
      <c r="P601" s="2" t="str">
        <f t="shared" si="29"/>
        <v>5–10 km/h</v>
      </c>
      <c r="Q601" s="2">
        <v>1363</v>
      </c>
      <c r="R601" s="2">
        <v>6402</v>
      </c>
      <c r="S601" s="2">
        <v>7765</v>
      </c>
    </row>
    <row r="602" spans="1:19" x14ac:dyDescent="0.3">
      <c r="A602" s="2">
        <v>601</v>
      </c>
      <c r="B602" s="1" t="s">
        <v>821</v>
      </c>
      <c r="C602" t="s">
        <v>905</v>
      </c>
      <c r="D602">
        <v>2019</v>
      </c>
      <c r="E602" t="s">
        <v>927</v>
      </c>
      <c r="F602" t="s">
        <v>908</v>
      </c>
      <c r="G602" t="s">
        <v>914</v>
      </c>
      <c r="H602" t="s">
        <v>909</v>
      </c>
      <c r="I602" t="s">
        <v>918</v>
      </c>
      <c r="J602" s="2">
        <v>28.802499999999998</v>
      </c>
      <c r="K602" s="2">
        <v>32.354999999999997</v>
      </c>
      <c r="L602" s="2" t="str">
        <f t="shared" si="27"/>
        <v>30–35°C</v>
      </c>
      <c r="M602" s="3">
        <v>61.5</v>
      </c>
      <c r="N602" s="3" t="str">
        <f t="shared" si="28"/>
        <v>60–80%</v>
      </c>
      <c r="O602" s="2">
        <v>4.8337686</v>
      </c>
      <c r="P602" s="2" t="str">
        <f t="shared" si="29"/>
        <v>0–5 km/h</v>
      </c>
      <c r="Q602" s="2">
        <v>1325</v>
      </c>
      <c r="R602" s="2">
        <v>6257</v>
      </c>
      <c r="S602" s="2">
        <v>7582</v>
      </c>
    </row>
    <row r="603" spans="1:19" x14ac:dyDescent="0.3">
      <c r="A603" s="2">
        <v>602</v>
      </c>
      <c r="B603" s="1" t="s">
        <v>822</v>
      </c>
      <c r="C603" t="s">
        <v>905</v>
      </c>
      <c r="D603">
        <v>2019</v>
      </c>
      <c r="E603" t="s">
        <v>927</v>
      </c>
      <c r="F603" t="s">
        <v>908</v>
      </c>
      <c r="G603" t="s">
        <v>915</v>
      </c>
      <c r="H603" t="s">
        <v>908</v>
      </c>
      <c r="I603" t="s">
        <v>918</v>
      </c>
      <c r="J603" s="2">
        <v>27.128347000000002</v>
      </c>
      <c r="K603" s="2">
        <v>30.934799999999999</v>
      </c>
      <c r="L603" s="2" t="str">
        <f t="shared" si="27"/>
        <v>30–35°C</v>
      </c>
      <c r="M603" s="3">
        <v>71.291700000000006</v>
      </c>
      <c r="N603" s="3" t="str">
        <f t="shared" si="28"/>
        <v>60–80%</v>
      </c>
      <c r="O603" s="2">
        <v>16.375336000000001</v>
      </c>
      <c r="P603" s="2" t="str">
        <f t="shared" si="29"/>
        <v>15–20 km/h</v>
      </c>
      <c r="Q603" s="2">
        <v>1829</v>
      </c>
      <c r="R603" s="2">
        <v>4224</v>
      </c>
      <c r="S603" s="2">
        <v>6053</v>
      </c>
    </row>
    <row r="604" spans="1:19" x14ac:dyDescent="0.3">
      <c r="A604" s="2">
        <v>603</v>
      </c>
      <c r="B604" s="1" t="s">
        <v>823</v>
      </c>
      <c r="C604" t="s">
        <v>905</v>
      </c>
      <c r="D604">
        <v>2019</v>
      </c>
      <c r="E604" t="s">
        <v>927</v>
      </c>
      <c r="F604" t="s">
        <v>908</v>
      </c>
      <c r="G604" t="s">
        <v>916</v>
      </c>
      <c r="H604" t="s">
        <v>908</v>
      </c>
      <c r="I604" t="s">
        <v>918</v>
      </c>
      <c r="J604" s="2">
        <v>26.786653000000001</v>
      </c>
      <c r="K604" s="2">
        <v>29.799800000000001</v>
      </c>
      <c r="L604" s="2" t="str">
        <f t="shared" si="27"/>
        <v>25–30°C</v>
      </c>
      <c r="M604" s="3">
        <v>84.583299999999994</v>
      </c>
      <c r="N604" s="3" t="str">
        <f t="shared" si="28"/>
        <v>80–100%</v>
      </c>
      <c r="O604" s="2">
        <v>15.333486000000001</v>
      </c>
      <c r="P604" s="2" t="str">
        <f t="shared" si="29"/>
        <v>15–20 km/h</v>
      </c>
      <c r="Q604" s="2">
        <v>1483</v>
      </c>
      <c r="R604" s="2">
        <v>3772</v>
      </c>
      <c r="S604" s="2">
        <v>5255</v>
      </c>
    </row>
    <row r="605" spans="1:19" x14ac:dyDescent="0.3">
      <c r="A605" s="2">
        <v>604</v>
      </c>
      <c r="B605" s="1" t="s">
        <v>824</v>
      </c>
      <c r="C605" t="s">
        <v>905</v>
      </c>
      <c r="D605">
        <v>2019</v>
      </c>
      <c r="E605" t="s">
        <v>927</v>
      </c>
      <c r="F605" t="s">
        <v>908</v>
      </c>
      <c r="G605" t="s">
        <v>910</v>
      </c>
      <c r="H605" t="s">
        <v>909</v>
      </c>
      <c r="I605" t="s">
        <v>917</v>
      </c>
      <c r="J605" s="2">
        <v>28.836652999999998</v>
      </c>
      <c r="K605" s="2">
        <v>32.734400000000001</v>
      </c>
      <c r="L605" s="2" t="str">
        <f t="shared" si="27"/>
        <v>30–35°C</v>
      </c>
      <c r="M605" s="3">
        <v>73.041700000000006</v>
      </c>
      <c r="N605" s="3" t="str">
        <f t="shared" si="28"/>
        <v>60–80%</v>
      </c>
      <c r="O605" s="2">
        <v>8.6251110000000004</v>
      </c>
      <c r="P605" s="2" t="str">
        <f t="shared" si="29"/>
        <v>5–10 km/h</v>
      </c>
      <c r="Q605" s="2">
        <v>989</v>
      </c>
      <c r="R605" s="2">
        <v>5928</v>
      </c>
      <c r="S605" s="2">
        <v>6917</v>
      </c>
    </row>
    <row r="606" spans="1:19" x14ac:dyDescent="0.3">
      <c r="A606" s="2">
        <v>605</v>
      </c>
      <c r="B606" s="1" t="s">
        <v>825</v>
      </c>
      <c r="C606" t="s">
        <v>905</v>
      </c>
      <c r="D606">
        <v>2019</v>
      </c>
      <c r="E606" t="s">
        <v>927</v>
      </c>
      <c r="F606" t="s">
        <v>908</v>
      </c>
      <c r="G606" t="s">
        <v>911</v>
      </c>
      <c r="H606" t="s">
        <v>909</v>
      </c>
      <c r="I606" t="s">
        <v>917</v>
      </c>
      <c r="J606" s="2">
        <v>29.861653</v>
      </c>
      <c r="K606" s="2">
        <v>33.302500000000002</v>
      </c>
      <c r="L606" s="2" t="str">
        <f t="shared" si="27"/>
        <v>30–35°C</v>
      </c>
      <c r="M606" s="3">
        <v>62</v>
      </c>
      <c r="N606" s="3" t="str">
        <f t="shared" si="28"/>
        <v>60–80%</v>
      </c>
      <c r="O606" s="2">
        <v>12.791975000000001</v>
      </c>
      <c r="P606" s="2" t="str">
        <f t="shared" si="29"/>
        <v>10–15 km/h</v>
      </c>
      <c r="Q606" s="2">
        <v>935</v>
      </c>
      <c r="R606" s="2">
        <v>6105</v>
      </c>
      <c r="S606" s="2">
        <v>7040</v>
      </c>
    </row>
    <row r="607" spans="1:19" x14ac:dyDescent="0.3">
      <c r="A607" s="2">
        <v>606</v>
      </c>
      <c r="B607" s="1" t="s">
        <v>826</v>
      </c>
      <c r="C607" t="s">
        <v>905</v>
      </c>
      <c r="D607">
        <v>2019</v>
      </c>
      <c r="E607" t="s">
        <v>927</v>
      </c>
      <c r="F607" t="s">
        <v>908</v>
      </c>
      <c r="G607" t="s">
        <v>912</v>
      </c>
      <c r="H607" t="s">
        <v>909</v>
      </c>
      <c r="I607" t="s">
        <v>917</v>
      </c>
      <c r="J607" s="2">
        <v>28.085000000000001</v>
      </c>
      <c r="K607" s="2">
        <v>31.786650000000002</v>
      </c>
      <c r="L607" s="2" t="str">
        <f t="shared" si="27"/>
        <v>30–35°C</v>
      </c>
      <c r="M607" s="3">
        <v>55.208300000000001</v>
      </c>
      <c r="N607" s="3" t="str">
        <f t="shared" si="28"/>
        <v>40–60%</v>
      </c>
      <c r="O607" s="2">
        <v>7.5416540000000003</v>
      </c>
      <c r="P607" s="2" t="str">
        <f t="shared" si="29"/>
        <v>5–10 km/h</v>
      </c>
      <c r="Q607" s="2">
        <v>1177</v>
      </c>
      <c r="R607" s="2">
        <v>6520</v>
      </c>
      <c r="S607" s="2">
        <v>7697</v>
      </c>
    </row>
    <row r="608" spans="1:19" x14ac:dyDescent="0.3">
      <c r="A608" s="2">
        <v>607</v>
      </c>
      <c r="B608" s="1" t="s">
        <v>827</v>
      </c>
      <c r="C608" t="s">
        <v>905</v>
      </c>
      <c r="D608">
        <v>2019</v>
      </c>
      <c r="E608" t="s">
        <v>927</v>
      </c>
      <c r="F608" t="s">
        <v>908</v>
      </c>
      <c r="G608" t="s">
        <v>913</v>
      </c>
      <c r="H608" t="s">
        <v>909</v>
      </c>
      <c r="I608" t="s">
        <v>917</v>
      </c>
      <c r="J608" s="2">
        <v>28.973347</v>
      </c>
      <c r="K608" s="2">
        <v>32.638950000000001</v>
      </c>
      <c r="L608" s="2" t="str">
        <f t="shared" si="27"/>
        <v>30–35°C</v>
      </c>
      <c r="M608" s="3">
        <v>59.041699999999999</v>
      </c>
      <c r="N608" s="3" t="str">
        <f t="shared" si="28"/>
        <v>40–60%</v>
      </c>
      <c r="O608" s="2">
        <v>5.1668189</v>
      </c>
      <c r="P608" s="2" t="str">
        <f t="shared" si="29"/>
        <v>5–10 km/h</v>
      </c>
      <c r="Q608" s="2">
        <v>1172</v>
      </c>
      <c r="R608" s="2">
        <v>6541</v>
      </c>
      <c r="S608" s="2">
        <v>7713</v>
      </c>
    </row>
    <row r="609" spans="1:19" x14ac:dyDescent="0.3">
      <c r="A609" s="2">
        <v>608</v>
      </c>
      <c r="B609" s="1" t="s">
        <v>828</v>
      </c>
      <c r="C609" t="s">
        <v>905</v>
      </c>
      <c r="D609">
        <v>2019</v>
      </c>
      <c r="E609" t="s">
        <v>927</v>
      </c>
      <c r="F609" t="s">
        <v>908</v>
      </c>
      <c r="G609" t="s">
        <v>914</v>
      </c>
      <c r="H609" t="s">
        <v>909</v>
      </c>
      <c r="I609" t="s">
        <v>917</v>
      </c>
      <c r="J609" s="2">
        <v>31.330846999999999</v>
      </c>
      <c r="K609" s="2">
        <v>34.47</v>
      </c>
      <c r="L609" s="2" t="str">
        <f t="shared" si="27"/>
        <v>30–35°C</v>
      </c>
      <c r="M609" s="3">
        <v>58.75</v>
      </c>
      <c r="N609" s="3" t="str">
        <f t="shared" si="28"/>
        <v>40–60%</v>
      </c>
      <c r="O609" s="2">
        <v>11.291710999999999</v>
      </c>
      <c r="P609" s="2" t="str">
        <f t="shared" si="29"/>
        <v>10–15 km/h</v>
      </c>
      <c r="Q609" s="2">
        <v>1433</v>
      </c>
      <c r="R609" s="2">
        <v>5917</v>
      </c>
      <c r="S609" s="2">
        <v>7350</v>
      </c>
    </row>
    <row r="610" spans="1:19" x14ac:dyDescent="0.3">
      <c r="A610" s="2">
        <v>609</v>
      </c>
      <c r="B610" s="1">
        <v>43474</v>
      </c>
      <c r="C610" t="s">
        <v>905</v>
      </c>
      <c r="D610">
        <v>2019</v>
      </c>
      <c r="E610" t="s">
        <v>928</v>
      </c>
      <c r="F610" t="s">
        <v>908</v>
      </c>
      <c r="G610" t="s">
        <v>915</v>
      </c>
      <c r="H610" t="s">
        <v>908</v>
      </c>
      <c r="I610" t="s">
        <v>918</v>
      </c>
      <c r="J610" s="2">
        <v>30.886652999999999</v>
      </c>
      <c r="K610" s="2">
        <v>35.1327</v>
      </c>
      <c r="L610" s="2" t="str">
        <f t="shared" si="27"/>
        <v>35–40°C</v>
      </c>
      <c r="M610" s="3">
        <v>63.833300000000001</v>
      </c>
      <c r="N610" s="3" t="str">
        <f t="shared" si="28"/>
        <v>60–80%</v>
      </c>
      <c r="O610" s="2">
        <v>7.5835290000000004</v>
      </c>
      <c r="P610" s="2" t="str">
        <f t="shared" si="29"/>
        <v>5–10 km/h</v>
      </c>
      <c r="Q610" s="2">
        <v>2352</v>
      </c>
      <c r="R610" s="2">
        <v>3788</v>
      </c>
      <c r="S610" s="2">
        <v>6140</v>
      </c>
    </row>
    <row r="611" spans="1:19" x14ac:dyDescent="0.3">
      <c r="A611" s="2">
        <v>610</v>
      </c>
      <c r="B611" s="1">
        <v>43505</v>
      </c>
      <c r="C611" t="s">
        <v>905</v>
      </c>
      <c r="D611">
        <v>2019</v>
      </c>
      <c r="E611" t="s">
        <v>928</v>
      </c>
      <c r="F611" t="s">
        <v>908</v>
      </c>
      <c r="G611" t="s">
        <v>916</v>
      </c>
      <c r="H611" t="s">
        <v>908</v>
      </c>
      <c r="I611" t="s">
        <v>918</v>
      </c>
      <c r="J611" s="2">
        <v>28.563347</v>
      </c>
      <c r="K611" s="2">
        <v>32.450000000000003</v>
      </c>
      <c r="L611" s="2" t="str">
        <f t="shared" si="27"/>
        <v>30–35°C</v>
      </c>
      <c r="M611" s="3">
        <v>81.5</v>
      </c>
      <c r="N611" s="3" t="str">
        <f t="shared" si="28"/>
        <v>80–100%</v>
      </c>
      <c r="O611" s="2">
        <v>4.2927435999999997</v>
      </c>
      <c r="P611" s="2" t="str">
        <f t="shared" si="29"/>
        <v>0–5 km/h</v>
      </c>
      <c r="Q611" s="2">
        <v>2613</v>
      </c>
      <c r="R611" s="2">
        <v>3197</v>
      </c>
      <c r="S611" s="2">
        <v>5810</v>
      </c>
    </row>
    <row r="612" spans="1:19" x14ac:dyDescent="0.3">
      <c r="A612" s="2">
        <v>611</v>
      </c>
      <c r="B612" s="1">
        <v>43533</v>
      </c>
      <c r="C612" t="s">
        <v>905</v>
      </c>
      <c r="D612">
        <v>2019</v>
      </c>
      <c r="E612" t="s">
        <v>928</v>
      </c>
      <c r="F612" t="s">
        <v>909</v>
      </c>
      <c r="G612" t="s">
        <v>910</v>
      </c>
      <c r="H612" t="s">
        <v>908</v>
      </c>
      <c r="I612" t="s">
        <v>917</v>
      </c>
      <c r="J612" s="2">
        <v>29.0075</v>
      </c>
      <c r="K612" s="2">
        <v>33.081449999999997</v>
      </c>
      <c r="L612" s="2" t="str">
        <f t="shared" si="27"/>
        <v>30–35°C</v>
      </c>
      <c r="M612" s="3">
        <v>79.083299999999994</v>
      </c>
      <c r="N612" s="3" t="str">
        <f t="shared" si="28"/>
        <v>60–80%</v>
      </c>
      <c r="O612" s="2">
        <v>10.125107</v>
      </c>
      <c r="P612" s="2" t="str">
        <f t="shared" si="29"/>
        <v>10–15 km/h</v>
      </c>
      <c r="Q612" s="2">
        <v>1965</v>
      </c>
      <c r="R612" s="2">
        <v>4069</v>
      </c>
      <c r="S612" s="2">
        <v>6034</v>
      </c>
    </row>
    <row r="613" spans="1:19" x14ac:dyDescent="0.3">
      <c r="A613" s="2">
        <v>612</v>
      </c>
      <c r="B613" s="1">
        <v>43564</v>
      </c>
      <c r="C613" t="s">
        <v>905</v>
      </c>
      <c r="D613">
        <v>2019</v>
      </c>
      <c r="E613" t="s">
        <v>928</v>
      </c>
      <c r="F613" t="s">
        <v>908</v>
      </c>
      <c r="G613" t="s">
        <v>911</v>
      </c>
      <c r="H613" t="s">
        <v>909</v>
      </c>
      <c r="I613" t="s">
        <v>917</v>
      </c>
      <c r="J613" s="2">
        <v>29.759153000000001</v>
      </c>
      <c r="K613" s="2">
        <v>34.3444</v>
      </c>
      <c r="L613" s="2" t="str">
        <f t="shared" si="27"/>
        <v>30–35°C</v>
      </c>
      <c r="M613" s="3">
        <v>75.5</v>
      </c>
      <c r="N613" s="3" t="str">
        <f t="shared" si="28"/>
        <v>60–80%</v>
      </c>
      <c r="O613" s="2">
        <v>15.833507000000001</v>
      </c>
      <c r="P613" s="2" t="str">
        <f t="shared" si="29"/>
        <v>15–20 km/h</v>
      </c>
      <c r="Q613" s="2">
        <v>867</v>
      </c>
      <c r="R613" s="2">
        <v>5997</v>
      </c>
      <c r="S613" s="2">
        <v>6864</v>
      </c>
    </row>
    <row r="614" spans="1:19" x14ac:dyDescent="0.3">
      <c r="A614" s="2">
        <v>613</v>
      </c>
      <c r="B614" s="1">
        <v>43594</v>
      </c>
      <c r="C614" t="s">
        <v>905</v>
      </c>
      <c r="D614">
        <v>2019</v>
      </c>
      <c r="E614" t="s">
        <v>928</v>
      </c>
      <c r="F614" t="s">
        <v>908</v>
      </c>
      <c r="G614" t="s">
        <v>912</v>
      </c>
      <c r="H614" t="s">
        <v>909</v>
      </c>
      <c r="I614" t="s">
        <v>917</v>
      </c>
      <c r="J614" s="2">
        <v>30.203347000000001</v>
      </c>
      <c r="K614" s="2">
        <v>35.449150000000003</v>
      </c>
      <c r="L614" s="2" t="str">
        <f t="shared" si="27"/>
        <v>35–40°C</v>
      </c>
      <c r="M614" s="3">
        <v>74.125</v>
      </c>
      <c r="N614" s="3" t="str">
        <f t="shared" si="28"/>
        <v>60–80%</v>
      </c>
      <c r="O614" s="2">
        <v>12.583136</v>
      </c>
      <c r="P614" s="2" t="str">
        <f t="shared" si="29"/>
        <v>10–15 km/h</v>
      </c>
      <c r="Q614" s="2">
        <v>832</v>
      </c>
      <c r="R614" s="2">
        <v>6280</v>
      </c>
      <c r="S614" s="2">
        <v>7112</v>
      </c>
    </row>
    <row r="615" spans="1:19" x14ac:dyDescent="0.3">
      <c r="A615" s="2">
        <v>614</v>
      </c>
      <c r="B615" s="1">
        <v>43625</v>
      </c>
      <c r="C615" t="s">
        <v>905</v>
      </c>
      <c r="D615">
        <v>2019</v>
      </c>
      <c r="E615" t="s">
        <v>928</v>
      </c>
      <c r="F615" t="s">
        <v>908</v>
      </c>
      <c r="G615" t="s">
        <v>913</v>
      </c>
      <c r="H615" t="s">
        <v>909</v>
      </c>
      <c r="I615" t="s">
        <v>918</v>
      </c>
      <c r="J615" s="2">
        <v>28.563347</v>
      </c>
      <c r="K615" s="2">
        <v>32.766449999999999</v>
      </c>
      <c r="L615" s="2" t="str">
        <f t="shared" si="27"/>
        <v>30–35°C</v>
      </c>
      <c r="M615" s="3">
        <v>81.041700000000006</v>
      </c>
      <c r="N615" s="3" t="str">
        <f t="shared" si="28"/>
        <v>80–100%</v>
      </c>
      <c r="O615" s="2">
        <v>9.5422069999999994</v>
      </c>
      <c r="P615" s="2" t="str">
        <f t="shared" si="29"/>
        <v>5–10 km/h</v>
      </c>
      <c r="Q615" s="2">
        <v>611</v>
      </c>
      <c r="R615" s="2">
        <v>5592</v>
      </c>
      <c r="S615" s="2">
        <v>6203</v>
      </c>
    </row>
    <row r="616" spans="1:19" x14ac:dyDescent="0.3">
      <c r="A616" s="2">
        <v>615</v>
      </c>
      <c r="B616" s="1">
        <v>43655</v>
      </c>
      <c r="C616" t="s">
        <v>905</v>
      </c>
      <c r="D616">
        <v>2019</v>
      </c>
      <c r="E616" t="s">
        <v>928</v>
      </c>
      <c r="F616" t="s">
        <v>908</v>
      </c>
      <c r="G616" t="s">
        <v>914</v>
      </c>
      <c r="H616" t="s">
        <v>909</v>
      </c>
      <c r="I616" t="s">
        <v>917</v>
      </c>
      <c r="J616" s="2">
        <v>28.836652999999998</v>
      </c>
      <c r="K616" s="2">
        <v>32.860199999999999</v>
      </c>
      <c r="L616" s="2" t="str">
        <f t="shared" si="27"/>
        <v>30–35°C</v>
      </c>
      <c r="M616" s="3">
        <v>73.625</v>
      </c>
      <c r="N616" s="3" t="str">
        <f t="shared" si="28"/>
        <v>60–80%</v>
      </c>
      <c r="O616" s="2">
        <v>11.500282</v>
      </c>
      <c r="P616" s="2" t="str">
        <f t="shared" si="29"/>
        <v>10–15 km/h</v>
      </c>
      <c r="Q616" s="2">
        <v>1045</v>
      </c>
      <c r="R616" s="2">
        <v>6459</v>
      </c>
      <c r="S616" s="2">
        <v>7504</v>
      </c>
    </row>
    <row r="617" spans="1:19" x14ac:dyDescent="0.3">
      <c r="A617" s="2">
        <v>616</v>
      </c>
      <c r="B617" s="1">
        <v>43686</v>
      </c>
      <c r="C617" t="s">
        <v>905</v>
      </c>
      <c r="D617">
        <v>2019</v>
      </c>
      <c r="E617" t="s">
        <v>928</v>
      </c>
      <c r="F617" t="s">
        <v>908</v>
      </c>
      <c r="G617" t="s">
        <v>915</v>
      </c>
      <c r="H617" t="s">
        <v>908</v>
      </c>
      <c r="I617" t="s">
        <v>918</v>
      </c>
      <c r="J617" s="2">
        <v>27.025846999999999</v>
      </c>
      <c r="K617" s="2">
        <v>30.556049999999999</v>
      </c>
      <c r="L617" s="2" t="str">
        <f t="shared" si="27"/>
        <v>30–35°C</v>
      </c>
      <c r="M617" s="3">
        <v>79.916700000000006</v>
      </c>
      <c r="N617" s="3" t="str">
        <f t="shared" si="28"/>
        <v>60–80%</v>
      </c>
      <c r="O617" s="2">
        <v>18.833967999999999</v>
      </c>
      <c r="P617" s="2" t="str">
        <f t="shared" si="29"/>
        <v>15–20 km/h</v>
      </c>
      <c r="Q617" s="2">
        <v>1557</v>
      </c>
      <c r="R617" s="2">
        <v>4419</v>
      </c>
      <c r="S617" s="2">
        <v>5976</v>
      </c>
    </row>
    <row r="618" spans="1:19" x14ac:dyDescent="0.3">
      <c r="A618" s="2">
        <v>617</v>
      </c>
      <c r="B618" s="1">
        <v>43717</v>
      </c>
      <c r="C618" t="s">
        <v>905</v>
      </c>
      <c r="D618">
        <v>2019</v>
      </c>
      <c r="E618" t="s">
        <v>928</v>
      </c>
      <c r="F618" t="s">
        <v>908</v>
      </c>
      <c r="G618" t="s">
        <v>916</v>
      </c>
      <c r="H618" t="s">
        <v>908</v>
      </c>
      <c r="I618" t="s">
        <v>917</v>
      </c>
      <c r="J618" s="2">
        <v>25.01</v>
      </c>
      <c r="K618" s="2">
        <v>28.946249999999999</v>
      </c>
      <c r="L618" s="2" t="str">
        <f t="shared" si="27"/>
        <v>25–30°C</v>
      </c>
      <c r="M618" s="3">
        <v>54.75</v>
      </c>
      <c r="N618" s="3" t="str">
        <f t="shared" si="28"/>
        <v>40–60%</v>
      </c>
      <c r="O618" s="2">
        <v>15.041232000000001</v>
      </c>
      <c r="P618" s="2" t="str">
        <f t="shared" si="29"/>
        <v>15–20 km/h</v>
      </c>
      <c r="Q618" s="2">
        <v>2570</v>
      </c>
      <c r="R618" s="2">
        <v>5657</v>
      </c>
      <c r="S618" s="2">
        <v>8227</v>
      </c>
    </row>
    <row r="619" spans="1:19" x14ac:dyDescent="0.3">
      <c r="A619" s="2">
        <v>618</v>
      </c>
      <c r="B619" s="1">
        <v>43747</v>
      </c>
      <c r="C619" t="s">
        <v>905</v>
      </c>
      <c r="D619">
        <v>2019</v>
      </c>
      <c r="E619" t="s">
        <v>928</v>
      </c>
      <c r="F619" t="s">
        <v>908</v>
      </c>
      <c r="G619" t="s">
        <v>910</v>
      </c>
      <c r="H619" t="s">
        <v>909</v>
      </c>
      <c r="I619" t="s">
        <v>917</v>
      </c>
      <c r="J619" s="2">
        <v>23.916653</v>
      </c>
      <c r="K619" s="2">
        <v>28.282699999999998</v>
      </c>
      <c r="L619" s="2" t="str">
        <f t="shared" si="27"/>
        <v>25–30°C</v>
      </c>
      <c r="M619" s="3">
        <v>50.375</v>
      </c>
      <c r="N619" s="3" t="str">
        <f t="shared" si="28"/>
        <v>40–60%</v>
      </c>
      <c r="O619" s="2">
        <v>17.333770999999999</v>
      </c>
      <c r="P619" s="2" t="str">
        <f t="shared" si="29"/>
        <v>15–20 km/h</v>
      </c>
      <c r="Q619" s="2">
        <v>1118</v>
      </c>
      <c r="R619" s="2">
        <v>6407</v>
      </c>
      <c r="S619" s="2">
        <v>7525</v>
      </c>
    </row>
    <row r="620" spans="1:19" x14ac:dyDescent="0.3">
      <c r="A620" s="2">
        <v>619</v>
      </c>
      <c r="B620" s="1">
        <v>43778</v>
      </c>
      <c r="C620" t="s">
        <v>905</v>
      </c>
      <c r="D620">
        <v>2019</v>
      </c>
      <c r="E620" t="s">
        <v>928</v>
      </c>
      <c r="F620" t="s">
        <v>908</v>
      </c>
      <c r="G620" t="s">
        <v>911</v>
      </c>
      <c r="H620" t="s">
        <v>909</v>
      </c>
      <c r="I620" t="s">
        <v>917</v>
      </c>
      <c r="J620" s="2">
        <v>23.677499999999998</v>
      </c>
      <c r="K620" s="2">
        <v>27.714600000000001</v>
      </c>
      <c r="L620" s="2" t="str">
        <f t="shared" si="27"/>
        <v>25–30°C</v>
      </c>
      <c r="M620" s="3">
        <v>52</v>
      </c>
      <c r="N620" s="3" t="str">
        <f t="shared" si="28"/>
        <v>40–60%</v>
      </c>
      <c r="O620" s="2">
        <v>6.1676314000000003</v>
      </c>
      <c r="P620" s="2" t="str">
        <f t="shared" si="29"/>
        <v>5–10 km/h</v>
      </c>
      <c r="Q620" s="2">
        <v>1070</v>
      </c>
      <c r="R620" s="2">
        <v>6697</v>
      </c>
      <c r="S620" s="2">
        <v>7767</v>
      </c>
    </row>
    <row r="621" spans="1:19" x14ac:dyDescent="0.3">
      <c r="A621" s="2">
        <v>620</v>
      </c>
      <c r="B621" s="1">
        <v>43808</v>
      </c>
      <c r="C621" t="s">
        <v>905</v>
      </c>
      <c r="D621">
        <v>2019</v>
      </c>
      <c r="E621" t="s">
        <v>928</v>
      </c>
      <c r="F621" t="s">
        <v>908</v>
      </c>
      <c r="G621" t="s">
        <v>912</v>
      </c>
      <c r="H621" t="s">
        <v>909</v>
      </c>
      <c r="I621" t="s">
        <v>917</v>
      </c>
      <c r="J621" s="2">
        <v>24.565847000000002</v>
      </c>
      <c r="K621" s="2">
        <v>28.50375</v>
      </c>
      <c r="L621" s="2" t="str">
        <f t="shared" si="27"/>
        <v>25–30°C</v>
      </c>
      <c r="M621" s="3">
        <v>57.708300000000001</v>
      </c>
      <c r="N621" s="3" t="str">
        <f t="shared" si="28"/>
        <v>40–60%</v>
      </c>
      <c r="O621" s="2">
        <v>8.8336819999999996</v>
      </c>
      <c r="P621" s="2" t="str">
        <f t="shared" si="29"/>
        <v>5–10 km/h</v>
      </c>
      <c r="Q621" s="2">
        <v>1050</v>
      </c>
      <c r="R621" s="2">
        <v>6820</v>
      </c>
      <c r="S621" s="2">
        <v>7870</v>
      </c>
    </row>
    <row r="622" spans="1:19" x14ac:dyDescent="0.3">
      <c r="A622" s="2">
        <v>621</v>
      </c>
      <c r="B622" s="1" t="s">
        <v>829</v>
      </c>
      <c r="C622" t="s">
        <v>905</v>
      </c>
      <c r="D622">
        <v>2019</v>
      </c>
      <c r="E622" t="s">
        <v>928</v>
      </c>
      <c r="F622" t="s">
        <v>908</v>
      </c>
      <c r="G622" t="s">
        <v>913</v>
      </c>
      <c r="H622" t="s">
        <v>909</v>
      </c>
      <c r="I622" t="s">
        <v>917</v>
      </c>
      <c r="J622" s="2">
        <v>25.112500000000001</v>
      </c>
      <c r="K622" s="2">
        <v>28.977900000000002</v>
      </c>
      <c r="L622" s="2" t="str">
        <f t="shared" si="27"/>
        <v>25–30°C</v>
      </c>
      <c r="M622" s="3">
        <v>63.708300000000001</v>
      </c>
      <c r="N622" s="3" t="str">
        <f t="shared" si="28"/>
        <v>60–80%</v>
      </c>
      <c r="O622" s="2">
        <v>5.5422935999999998</v>
      </c>
      <c r="P622" s="2" t="str">
        <f t="shared" si="29"/>
        <v>5–10 km/h</v>
      </c>
      <c r="Q622" s="2">
        <v>1054</v>
      </c>
      <c r="R622" s="2">
        <v>6750</v>
      </c>
      <c r="S622" s="2">
        <v>7804</v>
      </c>
    </row>
    <row r="623" spans="1:19" x14ac:dyDescent="0.3">
      <c r="A623" s="2">
        <v>622</v>
      </c>
      <c r="B623" s="1" t="s">
        <v>830</v>
      </c>
      <c r="C623" t="s">
        <v>905</v>
      </c>
      <c r="D623">
        <v>2019</v>
      </c>
      <c r="E623" t="s">
        <v>928</v>
      </c>
      <c r="F623" t="s">
        <v>908</v>
      </c>
      <c r="G623" t="s">
        <v>914</v>
      </c>
      <c r="H623" t="s">
        <v>909</v>
      </c>
      <c r="I623" t="s">
        <v>917</v>
      </c>
      <c r="J623" s="2">
        <v>25.966653000000001</v>
      </c>
      <c r="K623" s="2">
        <v>29.704149999999998</v>
      </c>
      <c r="L623" s="2" t="str">
        <f t="shared" si="27"/>
        <v>25–30°C</v>
      </c>
      <c r="M623" s="3">
        <v>67.25</v>
      </c>
      <c r="N623" s="3" t="str">
        <f t="shared" si="28"/>
        <v>60–80%</v>
      </c>
      <c r="O623" s="2">
        <v>6.9588210000000004</v>
      </c>
      <c r="P623" s="2" t="str">
        <f t="shared" si="29"/>
        <v>5–10 km/h</v>
      </c>
      <c r="Q623" s="2">
        <v>1379</v>
      </c>
      <c r="R623" s="2">
        <v>6630</v>
      </c>
      <c r="S623" s="2">
        <v>8009</v>
      </c>
    </row>
    <row r="624" spans="1:19" x14ac:dyDescent="0.3">
      <c r="A624" s="2">
        <v>623</v>
      </c>
      <c r="B624" s="1" t="s">
        <v>831</v>
      </c>
      <c r="C624" t="s">
        <v>905</v>
      </c>
      <c r="D624">
        <v>2019</v>
      </c>
      <c r="E624" t="s">
        <v>928</v>
      </c>
      <c r="F624" t="s">
        <v>908</v>
      </c>
      <c r="G624" t="s">
        <v>915</v>
      </c>
      <c r="H624" t="s">
        <v>908</v>
      </c>
      <c r="I624" t="s">
        <v>917</v>
      </c>
      <c r="J624" s="2">
        <v>24.941652999999999</v>
      </c>
      <c r="K624" s="2">
        <v>29.29335</v>
      </c>
      <c r="L624" s="2" t="str">
        <f t="shared" si="27"/>
        <v>25–30°C</v>
      </c>
      <c r="M624" s="3">
        <v>50.166699999999999</v>
      </c>
      <c r="N624" s="3" t="str">
        <f t="shared" si="28"/>
        <v>40–60%</v>
      </c>
      <c r="O624" s="2">
        <v>16.583907</v>
      </c>
      <c r="P624" s="2" t="str">
        <f t="shared" si="29"/>
        <v>15–20 km/h</v>
      </c>
      <c r="Q624" s="2">
        <v>3160</v>
      </c>
      <c r="R624" s="2">
        <v>5554</v>
      </c>
      <c r="S624" s="2">
        <v>8714</v>
      </c>
    </row>
    <row r="625" spans="1:19" x14ac:dyDescent="0.3">
      <c r="A625" s="2">
        <v>624</v>
      </c>
      <c r="B625" s="1" t="s">
        <v>832</v>
      </c>
      <c r="C625" t="s">
        <v>905</v>
      </c>
      <c r="D625">
        <v>2019</v>
      </c>
      <c r="E625" t="s">
        <v>928</v>
      </c>
      <c r="F625" t="s">
        <v>908</v>
      </c>
      <c r="G625" t="s">
        <v>916</v>
      </c>
      <c r="H625" t="s">
        <v>908</v>
      </c>
      <c r="I625" t="s">
        <v>917</v>
      </c>
      <c r="J625" s="2">
        <v>23.78</v>
      </c>
      <c r="K625" s="2">
        <v>28.15625</v>
      </c>
      <c r="L625" s="2" t="str">
        <f t="shared" si="27"/>
        <v>25–30°C</v>
      </c>
      <c r="M625" s="3">
        <v>57</v>
      </c>
      <c r="N625" s="3" t="str">
        <f t="shared" si="28"/>
        <v>40–60%</v>
      </c>
      <c r="O625" s="2">
        <v>6.0422811000000003</v>
      </c>
      <c r="P625" s="2" t="str">
        <f t="shared" si="29"/>
        <v>5–10 km/h</v>
      </c>
      <c r="Q625" s="2">
        <v>2166</v>
      </c>
      <c r="R625" s="2">
        <v>5167</v>
      </c>
      <c r="S625" s="2">
        <v>7333</v>
      </c>
    </row>
    <row r="626" spans="1:19" x14ac:dyDescent="0.3">
      <c r="A626" s="2">
        <v>625</v>
      </c>
      <c r="B626" s="1" t="s">
        <v>833</v>
      </c>
      <c r="C626" t="s">
        <v>905</v>
      </c>
      <c r="D626">
        <v>2019</v>
      </c>
      <c r="E626" t="s">
        <v>928</v>
      </c>
      <c r="F626" t="s">
        <v>908</v>
      </c>
      <c r="G626" t="s">
        <v>910</v>
      </c>
      <c r="H626" t="s">
        <v>909</v>
      </c>
      <c r="I626" t="s">
        <v>918</v>
      </c>
      <c r="J626" s="2">
        <v>23.814153000000001</v>
      </c>
      <c r="K626" s="2">
        <v>27.6525</v>
      </c>
      <c r="L626" s="2" t="str">
        <f t="shared" si="27"/>
        <v>25–30°C</v>
      </c>
      <c r="M626" s="3">
        <v>73.458299999999994</v>
      </c>
      <c r="N626" s="3" t="str">
        <f t="shared" si="28"/>
        <v>60–80%</v>
      </c>
      <c r="O626" s="2">
        <v>10.166714000000001</v>
      </c>
      <c r="P626" s="2" t="str">
        <f t="shared" si="29"/>
        <v>10–15 km/h</v>
      </c>
      <c r="Q626" s="2">
        <v>1022</v>
      </c>
      <c r="R626" s="2">
        <v>5847</v>
      </c>
      <c r="S626" s="2">
        <v>6869</v>
      </c>
    </row>
    <row r="627" spans="1:19" x14ac:dyDescent="0.3">
      <c r="A627" s="2">
        <v>626</v>
      </c>
      <c r="B627" s="1" t="s">
        <v>834</v>
      </c>
      <c r="C627" t="s">
        <v>905</v>
      </c>
      <c r="D627">
        <v>2019</v>
      </c>
      <c r="E627" t="s">
        <v>928</v>
      </c>
      <c r="F627" t="s">
        <v>908</v>
      </c>
      <c r="G627" t="s">
        <v>911</v>
      </c>
      <c r="H627" t="s">
        <v>909</v>
      </c>
      <c r="I627" t="s">
        <v>918</v>
      </c>
      <c r="J627" s="2">
        <v>25.556653000000001</v>
      </c>
      <c r="K627" s="2">
        <v>28.253350000000001</v>
      </c>
      <c r="L627" s="2" t="str">
        <f t="shared" si="27"/>
        <v>25–30°C</v>
      </c>
      <c r="M627" s="3">
        <v>87.25</v>
      </c>
      <c r="N627" s="3" t="str">
        <f t="shared" si="28"/>
        <v>80–100%</v>
      </c>
      <c r="O627" s="2">
        <v>23.958328999999999</v>
      </c>
      <c r="P627" s="2" t="str">
        <f t="shared" si="29"/>
        <v>20–25 km/h</v>
      </c>
      <c r="Q627" s="2">
        <v>371</v>
      </c>
      <c r="R627" s="2">
        <v>3702</v>
      </c>
      <c r="S627" s="2">
        <v>4073</v>
      </c>
    </row>
    <row r="628" spans="1:19" x14ac:dyDescent="0.3">
      <c r="A628" s="2">
        <v>627</v>
      </c>
      <c r="B628" s="1" t="s">
        <v>835</v>
      </c>
      <c r="C628" t="s">
        <v>905</v>
      </c>
      <c r="D628">
        <v>2019</v>
      </c>
      <c r="E628" t="s">
        <v>928</v>
      </c>
      <c r="F628" t="s">
        <v>908</v>
      </c>
      <c r="G628" t="s">
        <v>912</v>
      </c>
      <c r="H628" t="s">
        <v>909</v>
      </c>
      <c r="I628" t="s">
        <v>917</v>
      </c>
      <c r="J628" s="2">
        <v>22.6525</v>
      </c>
      <c r="K628" s="2">
        <v>27.020199999999999</v>
      </c>
      <c r="L628" s="2" t="str">
        <f t="shared" si="27"/>
        <v>25–30°C</v>
      </c>
      <c r="M628" s="3">
        <v>53.666699999999999</v>
      </c>
      <c r="N628" s="3" t="str">
        <f t="shared" si="28"/>
        <v>40–60%</v>
      </c>
      <c r="O628" s="2">
        <v>14.416725</v>
      </c>
      <c r="P628" s="2" t="str">
        <f t="shared" si="29"/>
        <v>10–15 km/h</v>
      </c>
      <c r="Q628" s="2">
        <v>788</v>
      </c>
      <c r="R628" s="2">
        <v>6803</v>
      </c>
      <c r="S628" s="2">
        <v>7591</v>
      </c>
    </row>
    <row r="629" spans="1:19" x14ac:dyDescent="0.3">
      <c r="A629" s="2">
        <v>628</v>
      </c>
      <c r="B629" s="1" t="s">
        <v>836</v>
      </c>
      <c r="C629" t="s">
        <v>905</v>
      </c>
      <c r="D629">
        <v>2019</v>
      </c>
      <c r="E629" t="s">
        <v>928</v>
      </c>
      <c r="F629" t="s">
        <v>908</v>
      </c>
      <c r="G629" t="s">
        <v>913</v>
      </c>
      <c r="H629" t="s">
        <v>909</v>
      </c>
      <c r="I629" t="s">
        <v>917</v>
      </c>
      <c r="J629" s="2">
        <v>22.413347000000002</v>
      </c>
      <c r="K629" s="2">
        <v>26.6096</v>
      </c>
      <c r="L629" s="2" t="str">
        <f t="shared" si="27"/>
        <v>25–30°C</v>
      </c>
      <c r="M629" s="3">
        <v>61.833300000000001</v>
      </c>
      <c r="N629" s="3" t="str">
        <f t="shared" si="28"/>
        <v>60–80%</v>
      </c>
      <c r="O629" s="2">
        <v>7.9171889999999996</v>
      </c>
      <c r="P629" s="2" t="str">
        <f t="shared" si="29"/>
        <v>5–10 km/h</v>
      </c>
      <c r="Q629" s="2">
        <v>939</v>
      </c>
      <c r="R629" s="2">
        <v>6781</v>
      </c>
      <c r="S629" s="2">
        <v>7720</v>
      </c>
    </row>
    <row r="630" spans="1:19" x14ac:dyDescent="0.3">
      <c r="A630" s="2">
        <v>629</v>
      </c>
      <c r="B630" s="1" t="s">
        <v>837</v>
      </c>
      <c r="C630" t="s">
        <v>905</v>
      </c>
      <c r="D630">
        <v>2019</v>
      </c>
      <c r="E630" t="s">
        <v>928</v>
      </c>
      <c r="F630" t="s">
        <v>908</v>
      </c>
      <c r="G630" t="s">
        <v>914</v>
      </c>
      <c r="H630" t="s">
        <v>909</v>
      </c>
      <c r="I630" t="s">
        <v>917</v>
      </c>
      <c r="J630" s="2">
        <v>24.565847000000002</v>
      </c>
      <c r="K630" s="2">
        <v>28.598549999999999</v>
      </c>
      <c r="L630" s="2" t="str">
        <f t="shared" si="27"/>
        <v>25–30°C</v>
      </c>
      <c r="M630" s="3">
        <v>66.875</v>
      </c>
      <c r="N630" s="3" t="str">
        <f t="shared" si="28"/>
        <v>60–80%</v>
      </c>
      <c r="O630" s="2">
        <v>10.333342999999999</v>
      </c>
      <c r="P630" s="2" t="str">
        <f t="shared" si="29"/>
        <v>10–15 km/h</v>
      </c>
      <c r="Q630" s="2">
        <v>1250</v>
      </c>
      <c r="R630" s="2">
        <v>6917</v>
      </c>
      <c r="S630" s="2">
        <v>8167</v>
      </c>
    </row>
    <row r="631" spans="1:19" x14ac:dyDescent="0.3">
      <c r="A631" s="2">
        <v>630</v>
      </c>
      <c r="B631" s="1" t="s">
        <v>838</v>
      </c>
      <c r="C631" t="s">
        <v>905</v>
      </c>
      <c r="D631">
        <v>2019</v>
      </c>
      <c r="E631" t="s">
        <v>928</v>
      </c>
      <c r="F631" t="s">
        <v>908</v>
      </c>
      <c r="G631" t="s">
        <v>915</v>
      </c>
      <c r="H631" t="s">
        <v>908</v>
      </c>
      <c r="I631" t="s">
        <v>917</v>
      </c>
      <c r="J631" s="2">
        <v>26.65</v>
      </c>
      <c r="K631" s="2">
        <v>30.5244</v>
      </c>
      <c r="L631" s="2" t="str">
        <f t="shared" si="27"/>
        <v>30–35°C</v>
      </c>
      <c r="M631" s="3">
        <v>64.666700000000006</v>
      </c>
      <c r="N631" s="3" t="str">
        <f t="shared" si="28"/>
        <v>60–80%</v>
      </c>
      <c r="O631" s="2">
        <v>19.000060999999999</v>
      </c>
      <c r="P631" s="2" t="str">
        <f t="shared" si="29"/>
        <v>15–20 km/h</v>
      </c>
      <c r="Q631" s="2">
        <v>2512</v>
      </c>
      <c r="R631" s="2">
        <v>5883</v>
      </c>
      <c r="S631" s="2">
        <v>8395</v>
      </c>
    </row>
    <row r="632" spans="1:19" x14ac:dyDescent="0.3">
      <c r="A632" s="2">
        <v>631</v>
      </c>
      <c r="B632" s="1" t="s">
        <v>839</v>
      </c>
      <c r="C632" t="s">
        <v>906</v>
      </c>
      <c r="D632">
        <v>2019</v>
      </c>
      <c r="E632" t="s">
        <v>928</v>
      </c>
      <c r="F632" t="s">
        <v>908</v>
      </c>
      <c r="G632" t="s">
        <v>916</v>
      </c>
      <c r="H632" t="s">
        <v>908</v>
      </c>
      <c r="I632" t="s">
        <v>917</v>
      </c>
      <c r="J632" s="2">
        <v>21.695847000000001</v>
      </c>
      <c r="K632" s="2">
        <v>25.946650000000002</v>
      </c>
      <c r="L632" s="2" t="str">
        <f t="shared" si="27"/>
        <v>25–30°C</v>
      </c>
      <c r="M632" s="3">
        <v>46.708300000000001</v>
      </c>
      <c r="N632" s="3" t="str">
        <f t="shared" si="28"/>
        <v>40–60%</v>
      </c>
      <c r="O632" s="2">
        <v>14.958285999999999</v>
      </c>
      <c r="P632" s="2" t="str">
        <f t="shared" si="29"/>
        <v>10–15 km/h</v>
      </c>
      <c r="Q632" s="2">
        <v>2454</v>
      </c>
      <c r="R632" s="2">
        <v>5453</v>
      </c>
      <c r="S632" s="2">
        <v>7907</v>
      </c>
    </row>
    <row r="633" spans="1:19" x14ac:dyDescent="0.3">
      <c r="A633" s="2">
        <v>632</v>
      </c>
      <c r="B633" s="1" t="s">
        <v>840</v>
      </c>
      <c r="C633" t="s">
        <v>906</v>
      </c>
      <c r="D633">
        <v>2019</v>
      </c>
      <c r="E633" t="s">
        <v>928</v>
      </c>
      <c r="F633" t="s">
        <v>908</v>
      </c>
      <c r="G633" t="s">
        <v>910</v>
      </c>
      <c r="H633" t="s">
        <v>909</v>
      </c>
      <c r="I633" t="s">
        <v>917</v>
      </c>
      <c r="J633" s="2">
        <v>21.080846999999999</v>
      </c>
      <c r="K633" s="2">
        <v>25.12565</v>
      </c>
      <c r="L633" s="2" t="str">
        <f t="shared" si="27"/>
        <v>25–30°C</v>
      </c>
      <c r="M633" s="3">
        <v>49.291699999999999</v>
      </c>
      <c r="N633" s="3" t="str">
        <f t="shared" si="28"/>
        <v>40–60%</v>
      </c>
      <c r="O633" s="2">
        <v>9.5410679999999992</v>
      </c>
      <c r="P633" s="2" t="str">
        <f t="shared" si="29"/>
        <v>5–10 km/h</v>
      </c>
      <c r="Q633" s="2">
        <v>1001</v>
      </c>
      <c r="R633" s="2">
        <v>6435</v>
      </c>
      <c r="S633" s="2">
        <v>7436</v>
      </c>
    </row>
    <row r="634" spans="1:19" x14ac:dyDescent="0.3">
      <c r="A634" s="2">
        <v>633</v>
      </c>
      <c r="B634" s="1" t="s">
        <v>841</v>
      </c>
      <c r="C634" t="s">
        <v>906</v>
      </c>
      <c r="D634">
        <v>2019</v>
      </c>
      <c r="E634" t="s">
        <v>928</v>
      </c>
      <c r="F634" t="s">
        <v>908</v>
      </c>
      <c r="G634" t="s">
        <v>911</v>
      </c>
      <c r="H634" t="s">
        <v>909</v>
      </c>
      <c r="I634" t="s">
        <v>917</v>
      </c>
      <c r="J634" s="2">
        <v>22.55</v>
      </c>
      <c r="K634" s="2">
        <v>27.208950000000002</v>
      </c>
      <c r="L634" s="2" t="str">
        <f t="shared" si="27"/>
        <v>25–30°C</v>
      </c>
      <c r="M634" s="3">
        <v>57</v>
      </c>
      <c r="N634" s="3" t="str">
        <f t="shared" si="28"/>
        <v>40–60%</v>
      </c>
      <c r="O634" s="2">
        <v>15.833507000000001</v>
      </c>
      <c r="P634" s="2" t="str">
        <f t="shared" si="29"/>
        <v>15–20 km/h</v>
      </c>
      <c r="Q634" s="2">
        <v>845</v>
      </c>
      <c r="R634" s="2">
        <v>6693</v>
      </c>
      <c r="S634" s="2">
        <v>7538</v>
      </c>
    </row>
    <row r="635" spans="1:19" x14ac:dyDescent="0.3">
      <c r="A635" s="2">
        <v>634</v>
      </c>
      <c r="B635" s="1" t="s">
        <v>842</v>
      </c>
      <c r="C635" t="s">
        <v>906</v>
      </c>
      <c r="D635">
        <v>2019</v>
      </c>
      <c r="E635" t="s">
        <v>928</v>
      </c>
      <c r="F635" t="s">
        <v>908</v>
      </c>
      <c r="G635" t="s">
        <v>912</v>
      </c>
      <c r="H635" t="s">
        <v>909</v>
      </c>
      <c r="I635" t="s">
        <v>917</v>
      </c>
      <c r="J635" s="2">
        <v>26.035</v>
      </c>
      <c r="K635" s="2">
        <v>29.830649999999999</v>
      </c>
      <c r="L635" s="2" t="str">
        <f t="shared" si="27"/>
        <v>25–30°C</v>
      </c>
      <c r="M635" s="3">
        <v>63.083300000000001</v>
      </c>
      <c r="N635" s="3" t="str">
        <f t="shared" si="28"/>
        <v>60–80%</v>
      </c>
      <c r="O635" s="2">
        <v>16.3748</v>
      </c>
      <c r="P635" s="2" t="str">
        <f t="shared" si="29"/>
        <v>15–20 km/h</v>
      </c>
      <c r="Q635" s="2">
        <v>787</v>
      </c>
      <c r="R635" s="2">
        <v>6946</v>
      </c>
      <c r="S635" s="2">
        <v>7733</v>
      </c>
    </row>
    <row r="636" spans="1:19" x14ac:dyDescent="0.3">
      <c r="A636" s="2">
        <v>635</v>
      </c>
      <c r="B636" s="1" t="s">
        <v>843</v>
      </c>
      <c r="C636" t="s">
        <v>906</v>
      </c>
      <c r="D636">
        <v>2019</v>
      </c>
      <c r="E636" t="s">
        <v>928</v>
      </c>
      <c r="F636" t="s">
        <v>908</v>
      </c>
      <c r="G636" t="s">
        <v>913</v>
      </c>
      <c r="H636" t="s">
        <v>909</v>
      </c>
      <c r="I636" t="s">
        <v>918</v>
      </c>
      <c r="J636" s="2">
        <v>26.65</v>
      </c>
      <c r="K636" s="2">
        <v>30.39875</v>
      </c>
      <c r="L636" s="2" t="str">
        <f t="shared" si="27"/>
        <v>30–35°C</v>
      </c>
      <c r="M636" s="3">
        <v>69.083299999999994</v>
      </c>
      <c r="N636" s="3" t="str">
        <f t="shared" si="28"/>
        <v>60–80%</v>
      </c>
      <c r="O636" s="2">
        <v>9.0009139999999999</v>
      </c>
      <c r="P636" s="2" t="str">
        <f t="shared" si="29"/>
        <v>5–10 km/h</v>
      </c>
      <c r="Q636" s="2">
        <v>751</v>
      </c>
      <c r="R636" s="2">
        <v>6642</v>
      </c>
      <c r="S636" s="2">
        <v>7393</v>
      </c>
    </row>
    <row r="637" spans="1:19" x14ac:dyDescent="0.3">
      <c r="A637" s="2">
        <v>636</v>
      </c>
      <c r="B637" s="1" t="s">
        <v>844</v>
      </c>
      <c r="C637" t="s">
        <v>906</v>
      </c>
      <c r="D637">
        <v>2019</v>
      </c>
      <c r="E637" t="s">
        <v>928</v>
      </c>
      <c r="F637" t="s">
        <v>908</v>
      </c>
      <c r="G637" t="s">
        <v>914</v>
      </c>
      <c r="H637" t="s">
        <v>909</v>
      </c>
      <c r="I637" t="s">
        <v>918</v>
      </c>
      <c r="J637" s="2">
        <v>25.385846999999998</v>
      </c>
      <c r="K637" s="2">
        <v>29.293150000000001</v>
      </c>
      <c r="L637" s="2" t="str">
        <f t="shared" si="27"/>
        <v>25–30°C</v>
      </c>
      <c r="M637" s="3">
        <v>69</v>
      </c>
      <c r="N637" s="3" t="str">
        <f t="shared" si="28"/>
        <v>60–80%</v>
      </c>
      <c r="O637" s="2">
        <v>10.999993</v>
      </c>
      <c r="P637" s="2" t="str">
        <f t="shared" si="29"/>
        <v>10–15 km/h</v>
      </c>
      <c r="Q637" s="2">
        <v>1045</v>
      </c>
      <c r="R637" s="2">
        <v>6370</v>
      </c>
      <c r="S637" s="2">
        <v>7415</v>
      </c>
    </row>
    <row r="638" spans="1:19" x14ac:dyDescent="0.3">
      <c r="A638" s="2">
        <v>637</v>
      </c>
      <c r="B638" s="1" t="s">
        <v>845</v>
      </c>
      <c r="C638" t="s">
        <v>906</v>
      </c>
      <c r="D638">
        <v>2019</v>
      </c>
      <c r="E638" t="s">
        <v>928</v>
      </c>
      <c r="F638" t="s">
        <v>908</v>
      </c>
      <c r="G638" t="s">
        <v>915</v>
      </c>
      <c r="H638" t="s">
        <v>908</v>
      </c>
      <c r="I638" t="s">
        <v>917</v>
      </c>
      <c r="J638" s="2">
        <v>22.2425</v>
      </c>
      <c r="K638" s="2">
        <v>26.514800000000001</v>
      </c>
      <c r="L638" s="2" t="str">
        <f t="shared" si="27"/>
        <v>25–30°C</v>
      </c>
      <c r="M638" s="3">
        <v>54.291699999999999</v>
      </c>
      <c r="N638" s="3" t="str">
        <f t="shared" si="28"/>
        <v>40–60%</v>
      </c>
      <c r="O638" s="2">
        <v>15.249468</v>
      </c>
      <c r="P638" s="2" t="str">
        <f t="shared" si="29"/>
        <v>15–20 km/h</v>
      </c>
      <c r="Q638" s="2">
        <v>2589</v>
      </c>
      <c r="R638" s="2">
        <v>5966</v>
      </c>
      <c r="S638" s="2">
        <v>8555</v>
      </c>
    </row>
    <row r="639" spans="1:19" x14ac:dyDescent="0.3">
      <c r="A639" s="2">
        <v>638</v>
      </c>
      <c r="B639" s="1" t="s">
        <v>846</v>
      </c>
      <c r="C639" t="s">
        <v>906</v>
      </c>
      <c r="D639">
        <v>2019</v>
      </c>
      <c r="E639" t="s">
        <v>928</v>
      </c>
      <c r="F639" t="s">
        <v>908</v>
      </c>
      <c r="G639" t="s">
        <v>916</v>
      </c>
      <c r="H639" t="s">
        <v>908</v>
      </c>
      <c r="I639" t="s">
        <v>917</v>
      </c>
      <c r="J639" s="2">
        <v>21.593347000000001</v>
      </c>
      <c r="K639" s="2">
        <v>25.883150000000001</v>
      </c>
      <c r="L639" s="2" t="str">
        <f t="shared" si="27"/>
        <v>25–30°C</v>
      </c>
      <c r="M639" s="3">
        <v>58.333300000000001</v>
      </c>
      <c r="N639" s="3" t="str">
        <f t="shared" si="28"/>
        <v>40–60%</v>
      </c>
      <c r="O639" s="2">
        <v>9.0421859999999992</v>
      </c>
      <c r="P639" s="2" t="str">
        <f t="shared" si="29"/>
        <v>5–10 km/h</v>
      </c>
      <c r="Q639" s="2">
        <v>2015</v>
      </c>
      <c r="R639" s="2">
        <v>4874</v>
      </c>
      <c r="S639" s="2">
        <v>6889</v>
      </c>
    </row>
    <row r="640" spans="1:19" x14ac:dyDescent="0.3">
      <c r="A640" s="2">
        <v>639</v>
      </c>
      <c r="B640" s="1">
        <v>43475</v>
      </c>
      <c r="C640" t="s">
        <v>906</v>
      </c>
      <c r="D640">
        <v>2019</v>
      </c>
      <c r="E640" t="s">
        <v>929</v>
      </c>
      <c r="F640" t="s">
        <v>908</v>
      </c>
      <c r="G640" t="s">
        <v>910</v>
      </c>
      <c r="H640" t="s">
        <v>909</v>
      </c>
      <c r="I640" t="s">
        <v>918</v>
      </c>
      <c r="J640" s="2">
        <v>21.354153</v>
      </c>
      <c r="K640" s="2">
        <v>25.6</v>
      </c>
      <c r="L640" s="2" t="str">
        <f t="shared" si="27"/>
        <v>25–30°C</v>
      </c>
      <c r="M640" s="3">
        <v>64.916700000000006</v>
      </c>
      <c r="N640" s="3" t="str">
        <f t="shared" si="28"/>
        <v>60–80%</v>
      </c>
      <c r="O640" s="2">
        <v>6.0838814000000001</v>
      </c>
      <c r="P640" s="2" t="str">
        <f t="shared" si="29"/>
        <v>5–10 km/h</v>
      </c>
      <c r="Q640" s="2">
        <v>763</v>
      </c>
      <c r="R640" s="2">
        <v>6015</v>
      </c>
      <c r="S640" s="2">
        <v>6778</v>
      </c>
    </row>
    <row r="641" spans="1:19" x14ac:dyDescent="0.3">
      <c r="A641" s="2">
        <v>640</v>
      </c>
      <c r="B641" s="1">
        <v>43506</v>
      </c>
      <c r="C641" t="s">
        <v>906</v>
      </c>
      <c r="D641">
        <v>2019</v>
      </c>
      <c r="E641" t="s">
        <v>929</v>
      </c>
      <c r="F641" t="s">
        <v>908</v>
      </c>
      <c r="G641" t="s">
        <v>911</v>
      </c>
      <c r="H641" t="s">
        <v>909</v>
      </c>
      <c r="I641" t="s">
        <v>919</v>
      </c>
      <c r="J641" s="2">
        <v>24.224153000000001</v>
      </c>
      <c r="K641" s="2">
        <v>27.11665</v>
      </c>
      <c r="L641" s="2" t="str">
        <f t="shared" si="27"/>
        <v>25–30°C</v>
      </c>
      <c r="M641" s="3">
        <v>87.166700000000006</v>
      </c>
      <c r="N641" s="3" t="str">
        <f t="shared" si="28"/>
        <v>80–100%</v>
      </c>
      <c r="O641" s="2">
        <v>6.9998250000000004</v>
      </c>
      <c r="P641" s="2" t="str">
        <f t="shared" si="29"/>
        <v>5–10 km/h</v>
      </c>
      <c r="Q641" s="2">
        <v>315</v>
      </c>
      <c r="R641" s="2">
        <v>4324</v>
      </c>
      <c r="S641" s="2">
        <v>4639</v>
      </c>
    </row>
    <row r="642" spans="1:19" x14ac:dyDescent="0.3">
      <c r="A642" s="2">
        <v>641</v>
      </c>
      <c r="B642" s="1">
        <v>43534</v>
      </c>
      <c r="C642" t="s">
        <v>906</v>
      </c>
      <c r="D642">
        <v>2019</v>
      </c>
      <c r="E642" t="s">
        <v>929</v>
      </c>
      <c r="F642" t="s">
        <v>908</v>
      </c>
      <c r="G642" t="s">
        <v>912</v>
      </c>
      <c r="H642" t="s">
        <v>909</v>
      </c>
      <c r="I642" t="s">
        <v>918</v>
      </c>
      <c r="J642" s="2">
        <v>26.9575</v>
      </c>
      <c r="K642" s="2">
        <v>29.95665</v>
      </c>
      <c r="L642" s="2" t="str">
        <f t="shared" ref="L642:L705" si="30">FLOOR(K642,5)&amp;"–"&amp;FLOOR(K642,5)+5&amp;"°C"</f>
        <v>25–30°C</v>
      </c>
      <c r="M642" s="3">
        <v>79.375</v>
      </c>
      <c r="N642" s="3" t="str">
        <f t="shared" ref="N642:N705" si="31">FLOOR(M642,20)&amp;"–"&amp;FLOOR(M642,20)+20&amp;"%"</f>
        <v>60–80%</v>
      </c>
      <c r="O642" s="2">
        <v>4.4585686000000004</v>
      </c>
      <c r="P642" s="2" t="str">
        <f t="shared" ref="P642:P705" si="32">FLOOR(O642,5)&amp;"–"&amp;FLOOR(O642,5)+5&amp;" km/h"</f>
        <v>0–5 km/h</v>
      </c>
      <c r="Q642" s="2">
        <v>728</v>
      </c>
      <c r="R642" s="2">
        <v>6844</v>
      </c>
      <c r="S642" s="2">
        <v>7572</v>
      </c>
    </row>
    <row r="643" spans="1:19" x14ac:dyDescent="0.3">
      <c r="A643" s="2">
        <v>642</v>
      </c>
      <c r="B643" s="1">
        <v>43565</v>
      </c>
      <c r="C643" t="s">
        <v>906</v>
      </c>
      <c r="D643">
        <v>2019</v>
      </c>
      <c r="E643" t="s">
        <v>929</v>
      </c>
      <c r="F643" t="s">
        <v>908</v>
      </c>
      <c r="G643" t="s">
        <v>913</v>
      </c>
      <c r="H643" t="s">
        <v>909</v>
      </c>
      <c r="I643" t="s">
        <v>918</v>
      </c>
      <c r="J643" s="2">
        <v>26.9575</v>
      </c>
      <c r="K643" s="2">
        <v>30.39875</v>
      </c>
      <c r="L643" s="2" t="str">
        <f t="shared" si="30"/>
        <v>30–35°C</v>
      </c>
      <c r="M643" s="3">
        <v>72.291700000000006</v>
      </c>
      <c r="N643" s="3" t="str">
        <f t="shared" si="31"/>
        <v>60–80%</v>
      </c>
      <c r="O643" s="2">
        <v>7.8755819999999996</v>
      </c>
      <c r="P643" s="2" t="str">
        <f t="shared" si="32"/>
        <v>5–10 km/h</v>
      </c>
      <c r="Q643" s="2">
        <v>891</v>
      </c>
      <c r="R643" s="2">
        <v>6437</v>
      </c>
      <c r="S643" s="2">
        <v>7328</v>
      </c>
    </row>
    <row r="644" spans="1:19" x14ac:dyDescent="0.3">
      <c r="A644" s="2">
        <v>643</v>
      </c>
      <c r="B644" s="1">
        <v>43595</v>
      </c>
      <c r="C644" t="s">
        <v>906</v>
      </c>
      <c r="D644">
        <v>2019</v>
      </c>
      <c r="E644" t="s">
        <v>929</v>
      </c>
      <c r="F644" t="s">
        <v>908</v>
      </c>
      <c r="G644" t="s">
        <v>914</v>
      </c>
      <c r="H644" t="s">
        <v>909</v>
      </c>
      <c r="I644" t="s">
        <v>917</v>
      </c>
      <c r="J644" s="2">
        <v>25.215</v>
      </c>
      <c r="K644" s="2">
        <v>29.009350000000001</v>
      </c>
      <c r="L644" s="2" t="str">
        <f t="shared" si="30"/>
        <v>25–30°C</v>
      </c>
      <c r="M644" s="3">
        <v>62.75</v>
      </c>
      <c r="N644" s="3" t="str">
        <f t="shared" si="31"/>
        <v>60–80%</v>
      </c>
      <c r="O644" s="2">
        <v>7.1254499999999998</v>
      </c>
      <c r="P644" s="2" t="str">
        <f t="shared" si="32"/>
        <v>5–10 km/h</v>
      </c>
      <c r="Q644" s="2">
        <v>1516</v>
      </c>
      <c r="R644" s="2">
        <v>6640</v>
      </c>
      <c r="S644" s="2">
        <v>8156</v>
      </c>
    </row>
    <row r="645" spans="1:19" x14ac:dyDescent="0.3">
      <c r="A645" s="2">
        <v>644</v>
      </c>
      <c r="B645" s="1">
        <v>43626</v>
      </c>
      <c r="C645" t="s">
        <v>906</v>
      </c>
      <c r="D645">
        <v>2019</v>
      </c>
      <c r="E645" t="s">
        <v>929</v>
      </c>
      <c r="F645" t="s">
        <v>908</v>
      </c>
      <c r="G645" t="s">
        <v>915</v>
      </c>
      <c r="H645" t="s">
        <v>908</v>
      </c>
      <c r="I645" t="s">
        <v>917</v>
      </c>
      <c r="J645" s="2">
        <v>22.720846999999999</v>
      </c>
      <c r="K645" s="2">
        <v>26.92605</v>
      </c>
      <c r="L645" s="2" t="str">
        <f t="shared" si="30"/>
        <v>25–30°C</v>
      </c>
      <c r="M645" s="3">
        <v>66.416700000000006</v>
      </c>
      <c r="N645" s="3" t="str">
        <f t="shared" si="31"/>
        <v>60–80%</v>
      </c>
      <c r="O645" s="2">
        <v>17.957674999999998</v>
      </c>
      <c r="P645" s="2" t="str">
        <f t="shared" si="32"/>
        <v>15–20 km/h</v>
      </c>
      <c r="Q645" s="2">
        <v>3031</v>
      </c>
      <c r="R645" s="2">
        <v>4934</v>
      </c>
      <c r="S645" s="2">
        <v>7965</v>
      </c>
    </row>
    <row r="646" spans="1:19" x14ac:dyDescent="0.3">
      <c r="A646" s="2">
        <v>645</v>
      </c>
      <c r="B646" s="1">
        <v>43656</v>
      </c>
      <c r="C646" t="s">
        <v>906</v>
      </c>
      <c r="D646">
        <v>2019</v>
      </c>
      <c r="E646" t="s">
        <v>929</v>
      </c>
      <c r="F646" t="s">
        <v>908</v>
      </c>
      <c r="G646" t="s">
        <v>916</v>
      </c>
      <c r="H646" t="s">
        <v>908</v>
      </c>
      <c r="I646" t="s">
        <v>918</v>
      </c>
      <c r="J646" s="2">
        <v>17.049153</v>
      </c>
      <c r="K646" s="2">
        <v>20.990649999999999</v>
      </c>
      <c r="L646" s="2" t="str">
        <f t="shared" si="30"/>
        <v>20–25°C</v>
      </c>
      <c r="M646" s="3">
        <v>70.833299999999994</v>
      </c>
      <c r="N646" s="3" t="str">
        <f t="shared" si="31"/>
        <v>60–80%</v>
      </c>
      <c r="O646" s="2">
        <v>9.4578539999999993</v>
      </c>
      <c r="P646" s="2" t="str">
        <f t="shared" si="32"/>
        <v>5–10 km/h</v>
      </c>
      <c r="Q646" s="2">
        <v>781</v>
      </c>
      <c r="R646" s="2">
        <v>2729</v>
      </c>
      <c r="S646" s="2">
        <v>3510</v>
      </c>
    </row>
    <row r="647" spans="1:19" x14ac:dyDescent="0.3">
      <c r="A647" s="2">
        <v>646</v>
      </c>
      <c r="B647" s="1">
        <v>43687</v>
      </c>
      <c r="C647" t="s">
        <v>906</v>
      </c>
      <c r="D647">
        <v>2019</v>
      </c>
      <c r="E647" t="s">
        <v>929</v>
      </c>
      <c r="F647" t="s">
        <v>909</v>
      </c>
      <c r="G647" t="s">
        <v>910</v>
      </c>
      <c r="H647" t="s">
        <v>908</v>
      </c>
      <c r="I647" t="s">
        <v>918</v>
      </c>
      <c r="J647" s="2">
        <v>15.716653000000001</v>
      </c>
      <c r="K647" s="2">
        <v>19.380400000000002</v>
      </c>
      <c r="L647" s="2" t="str">
        <f t="shared" si="30"/>
        <v>15–20°C</v>
      </c>
      <c r="M647" s="3">
        <v>70.958299999999994</v>
      </c>
      <c r="N647" s="3" t="str">
        <f t="shared" si="31"/>
        <v>60–80%</v>
      </c>
      <c r="O647" s="2">
        <v>12.708493000000001</v>
      </c>
      <c r="P647" s="2" t="str">
        <f t="shared" si="32"/>
        <v>10–15 km/h</v>
      </c>
      <c r="Q647" s="2">
        <v>874</v>
      </c>
      <c r="R647" s="2">
        <v>4604</v>
      </c>
      <c r="S647" s="2">
        <v>5478</v>
      </c>
    </row>
    <row r="648" spans="1:19" x14ac:dyDescent="0.3">
      <c r="A648" s="2">
        <v>647</v>
      </c>
      <c r="B648" s="1">
        <v>43718</v>
      </c>
      <c r="C648" t="s">
        <v>906</v>
      </c>
      <c r="D648">
        <v>2019</v>
      </c>
      <c r="E648" t="s">
        <v>929</v>
      </c>
      <c r="F648" t="s">
        <v>908</v>
      </c>
      <c r="G648" t="s">
        <v>911</v>
      </c>
      <c r="H648" t="s">
        <v>909</v>
      </c>
      <c r="I648" t="s">
        <v>918</v>
      </c>
      <c r="J648" s="2">
        <v>18.313347</v>
      </c>
      <c r="K648" s="2">
        <v>21.9056</v>
      </c>
      <c r="L648" s="2" t="str">
        <f t="shared" si="30"/>
        <v>20–25°C</v>
      </c>
      <c r="M648" s="3">
        <v>76.166700000000006</v>
      </c>
      <c r="N648" s="3" t="str">
        <f t="shared" si="31"/>
        <v>60–80%</v>
      </c>
      <c r="O648" s="2">
        <v>12.7501</v>
      </c>
      <c r="P648" s="2" t="str">
        <f t="shared" si="32"/>
        <v>10–15 km/h</v>
      </c>
      <c r="Q648" s="2">
        <v>601</v>
      </c>
      <c r="R648" s="2">
        <v>5791</v>
      </c>
      <c r="S648" s="2">
        <v>6392</v>
      </c>
    </row>
    <row r="649" spans="1:19" x14ac:dyDescent="0.3">
      <c r="A649" s="2">
        <v>648</v>
      </c>
      <c r="B649" s="1">
        <v>43748</v>
      </c>
      <c r="C649" t="s">
        <v>906</v>
      </c>
      <c r="D649">
        <v>2019</v>
      </c>
      <c r="E649" t="s">
        <v>929</v>
      </c>
      <c r="F649" t="s">
        <v>908</v>
      </c>
      <c r="G649" t="s">
        <v>912</v>
      </c>
      <c r="H649" t="s">
        <v>909</v>
      </c>
      <c r="I649" t="s">
        <v>917</v>
      </c>
      <c r="J649" s="2">
        <v>21.080846999999999</v>
      </c>
      <c r="K649" s="2">
        <v>25.1571</v>
      </c>
      <c r="L649" s="2" t="str">
        <f t="shared" si="30"/>
        <v>25–30°C</v>
      </c>
      <c r="M649" s="3">
        <v>63.083300000000001</v>
      </c>
      <c r="N649" s="3" t="str">
        <f t="shared" si="31"/>
        <v>60–80%</v>
      </c>
      <c r="O649" s="2">
        <v>12.584007</v>
      </c>
      <c r="P649" s="2" t="str">
        <f t="shared" si="32"/>
        <v>10–15 km/h</v>
      </c>
      <c r="Q649" s="2">
        <v>780</v>
      </c>
      <c r="R649" s="2">
        <v>6911</v>
      </c>
      <c r="S649" s="2">
        <v>7691</v>
      </c>
    </row>
    <row r="650" spans="1:19" x14ac:dyDescent="0.3">
      <c r="A650" s="2">
        <v>649</v>
      </c>
      <c r="B650" s="1">
        <v>43779</v>
      </c>
      <c r="C650" t="s">
        <v>906</v>
      </c>
      <c r="D650">
        <v>2019</v>
      </c>
      <c r="E650" t="s">
        <v>929</v>
      </c>
      <c r="F650" t="s">
        <v>908</v>
      </c>
      <c r="G650" t="s">
        <v>913</v>
      </c>
      <c r="H650" t="s">
        <v>909</v>
      </c>
      <c r="I650" t="s">
        <v>917</v>
      </c>
      <c r="J650" s="2">
        <v>17.835000000000001</v>
      </c>
      <c r="K650" s="2">
        <v>21.558350000000001</v>
      </c>
      <c r="L650" s="2" t="str">
        <f t="shared" si="30"/>
        <v>20–25°C</v>
      </c>
      <c r="M650" s="3">
        <v>46.333300000000001</v>
      </c>
      <c r="N650" s="3" t="str">
        <f t="shared" si="31"/>
        <v>40–60%</v>
      </c>
      <c r="O650" s="2">
        <v>12.166931999999999</v>
      </c>
      <c r="P650" s="2" t="str">
        <f t="shared" si="32"/>
        <v>10–15 km/h</v>
      </c>
      <c r="Q650" s="2">
        <v>834</v>
      </c>
      <c r="R650" s="2">
        <v>6736</v>
      </c>
      <c r="S650" s="2">
        <v>7570</v>
      </c>
    </row>
    <row r="651" spans="1:19" x14ac:dyDescent="0.3">
      <c r="A651" s="2">
        <v>650</v>
      </c>
      <c r="B651" s="1">
        <v>43809</v>
      </c>
      <c r="C651" t="s">
        <v>906</v>
      </c>
      <c r="D651">
        <v>2019</v>
      </c>
      <c r="E651" t="s">
        <v>929</v>
      </c>
      <c r="F651" t="s">
        <v>908</v>
      </c>
      <c r="G651" t="s">
        <v>914</v>
      </c>
      <c r="H651" t="s">
        <v>909</v>
      </c>
      <c r="I651" t="s">
        <v>917</v>
      </c>
      <c r="J651" s="2">
        <v>17.9375</v>
      </c>
      <c r="K651" s="2">
        <v>21.653549999999999</v>
      </c>
      <c r="L651" s="2" t="str">
        <f t="shared" si="30"/>
        <v>20–25°C</v>
      </c>
      <c r="M651" s="3">
        <v>53.916699999999999</v>
      </c>
      <c r="N651" s="3" t="str">
        <f t="shared" si="31"/>
        <v>40–60%</v>
      </c>
      <c r="O651" s="2">
        <v>15.751163999999999</v>
      </c>
      <c r="P651" s="2" t="str">
        <f t="shared" si="32"/>
        <v>15–20 km/h</v>
      </c>
      <c r="Q651" s="2">
        <v>1060</v>
      </c>
      <c r="R651" s="2">
        <v>6222</v>
      </c>
      <c r="S651" s="2">
        <v>7282</v>
      </c>
    </row>
    <row r="652" spans="1:19" x14ac:dyDescent="0.3">
      <c r="A652" s="2">
        <v>651</v>
      </c>
      <c r="B652" s="1" t="s">
        <v>847</v>
      </c>
      <c r="C652" t="s">
        <v>906</v>
      </c>
      <c r="D652">
        <v>2019</v>
      </c>
      <c r="E652" t="s">
        <v>929</v>
      </c>
      <c r="F652" t="s">
        <v>908</v>
      </c>
      <c r="G652" t="s">
        <v>915</v>
      </c>
      <c r="H652" t="s">
        <v>908</v>
      </c>
      <c r="I652" t="s">
        <v>917</v>
      </c>
      <c r="J652" s="2">
        <v>16.126653000000001</v>
      </c>
      <c r="K652" s="2">
        <v>19.569800000000001</v>
      </c>
      <c r="L652" s="2" t="str">
        <f t="shared" si="30"/>
        <v>15–20°C</v>
      </c>
      <c r="M652" s="3">
        <v>49.458300000000001</v>
      </c>
      <c r="N652" s="3" t="str">
        <f t="shared" si="31"/>
        <v>40–60%</v>
      </c>
      <c r="O652" s="2">
        <v>9.7915139999999994</v>
      </c>
      <c r="P652" s="2" t="str">
        <f t="shared" si="32"/>
        <v>5–10 km/h</v>
      </c>
      <c r="Q652" s="2">
        <v>2252</v>
      </c>
      <c r="R652" s="2">
        <v>4857</v>
      </c>
      <c r="S652" s="2">
        <v>7109</v>
      </c>
    </row>
    <row r="653" spans="1:19" x14ac:dyDescent="0.3">
      <c r="A653" s="2">
        <v>652</v>
      </c>
      <c r="B653" s="1" t="s">
        <v>848</v>
      </c>
      <c r="C653" t="s">
        <v>906</v>
      </c>
      <c r="D653">
        <v>2019</v>
      </c>
      <c r="E653" t="s">
        <v>929</v>
      </c>
      <c r="F653" t="s">
        <v>908</v>
      </c>
      <c r="G653" t="s">
        <v>916</v>
      </c>
      <c r="H653" t="s">
        <v>908</v>
      </c>
      <c r="I653" t="s">
        <v>917</v>
      </c>
      <c r="J653" s="2">
        <v>21.388347</v>
      </c>
      <c r="K653" s="2">
        <v>25.4102</v>
      </c>
      <c r="L653" s="2" t="str">
        <f t="shared" si="30"/>
        <v>25–30°C</v>
      </c>
      <c r="M653" s="3">
        <v>64.041700000000006</v>
      </c>
      <c r="N653" s="3" t="str">
        <f t="shared" si="31"/>
        <v>60–80%</v>
      </c>
      <c r="O653" s="2">
        <v>18.667003999999999</v>
      </c>
      <c r="P653" s="2" t="str">
        <f t="shared" si="32"/>
        <v>15–20 km/h</v>
      </c>
      <c r="Q653" s="2">
        <v>2080</v>
      </c>
      <c r="R653" s="2">
        <v>4559</v>
      </c>
      <c r="S653" s="2">
        <v>6639</v>
      </c>
    </row>
    <row r="654" spans="1:19" x14ac:dyDescent="0.3">
      <c r="A654" s="2">
        <v>653</v>
      </c>
      <c r="B654" s="1" t="s">
        <v>849</v>
      </c>
      <c r="C654" t="s">
        <v>906</v>
      </c>
      <c r="D654">
        <v>2019</v>
      </c>
      <c r="E654" t="s">
        <v>929</v>
      </c>
      <c r="F654" t="s">
        <v>908</v>
      </c>
      <c r="G654" t="s">
        <v>910</v>
      </c>
      <c r="H654" t="s">
        <v>909</v>
      </c>
      <c r="I654" t="s">
        <v>918</v>
      </c>
      <c r="J654" s="2">
        <v>23.028347</v>
      </c>
      <c r="K654" s="2">
        <v>26.9575</v>
      </c>
      <c r="L654" s="2" t="str">
        <f t="shared" si="30"/>
        <v>25–30°C</v>
      </c>
      <c r="M654" s="3">
        <v>70.75</v>
      </c>
      <c r="N654" s="3" t="str">
        <f t="shared" si="31"/>
        <v>60–80%</v>
      </c>
      <c r="O654" s="2">
        <v>19.834479000000002</v>
      </c>
      <c r="P654" s="2" t="str">
        <f t="shared" si="32"/>
        <v>15–20 km/h</v>
      </c>
      <c r="Q654" s="2">
        <v>760</v>
      </c>
      <c r="R654" s="2">
        <v>5115</v>
      </c>
      <c r="S654" s="2">
        <v>5875</v>
      </c>
    </row>
    <row r="655" spans="1:19" x14ac:dyDescent="0.3">
      <c r="A655" s="2">
        <v>654</v>
      </c>
      <c r="B655" s="1" t="s">
        <v>850</v>
      </c>
      <c r="C655" t="s">
        <v>906</v>
      </c>
      <c r="D655">
        <v>2019</v>
      </c>
      <c r="E655" t="s">
        <v>929</v>
      </c>
      <c r="F655" t="s">
        <v>908</v>
      </c>
      <c r="G655" t="s">
        <v>911</v>
      </c>
      <c r="H655" t="s">
        <v>909</v>
      </c>
      <c r="I655" t="s">
        <v>917</v>
      </c>
      <c r="J655" s="2">
        <v>19.201653</v>
      </c>
      <c r="K655" s="2">
        <v>23.042300000000001</v>
      </c>
      <c r="L655" s="2" t="str">
        <f t="shared" si="30"/>
        <v>20–25°C</v>
      </c>
      <c r="M655" s="3">
        <v>55.833300000000001</v>
      </c>
      <c r="N655" s="3" t="str">
        <f t="shared" si="31"/>
        <v>40–60%</v>
      </c>
      <c r="O655" s="2">
        <v>12.208807</v>
      </c>
      <c r="P655" s="2" t="str">
        <f t="shared" si="32"/>
        <v>10–15 km/h</v>
      </c>
      <c r="Q655" s="2">
        <v>922</v>
      </c>
      <c r="R655" s="2">
        <v>6612</v>
      </c>
      <c r="S655" s="2">
        <v>7534</v>
      </c>
    </row>
    <row r="656" spans="1:19" x14ac:dyDescent="0.3">
      <c r="A656" s="2">
        <v>655</v>
      </c>
      <c r="B656" s="1" t="s">
        <v>851</v>
      </c>
      <c r="C656" t="s">
        <v>906</v>
      </c>
      <c r="D656">
        <v>2019</v>
      </c>
      <c r="E656" t="s">
        <v>929</v>
      </c>
      <c r="F656" t="s">
        <v>908</v>
      </c>
      <c r="G656" t="s">
        <v>912</v>
      </c>
      <c r="H656" t="s">
        <v>909</v>
      </c>
      <c r="I656" t="s">
        <v>917</v>
      </c>
      <c r="J656" s="2">
        <v>18.689153000000001</v>
      </c>
      <c r="K656" s="2">
        <v>22.505400000000002</v>
      </c>
      <c r="L656" s="2" t="str">
        <f t="shared" si="30"/>
        <v>20–25°C</v>
      </c>
      <c r="M656" s="3">
        <v>69.291700000000006</v>
      </c>
      <c r="N656" s="3" t="str">
        <f t="shared" si="31"/>
        <v>60–80%</v>
      </c>
      <c r="O656" s="2">
        <v>6.7918570000000003</v>
      </c>
      <c r="P656" s="2" t="str">
        <f t="shared" si="32"/>
        <v>5–10 km/h</v>
      </c>
      <c r="Q656" s="2">
        <v>979</v>
      </c>
      <c r="R656" s="2">
        <v>6482</v>
      </c>
      <c r="S656" s="2">
        <v>7461</v>
      </c>
    </row>
    <row r="657" spans="1:19" x14ac:dyDescent="0.3">
      <c r="A657" s="2">
        <v>656</v>
      </c>
      <c r="B657" s="1" t="s">
        <v>852</v>
      </c>
      <c r="C657" t="s">
        <v>906</v>
      </c>
      <c r="D657">
        <v>2019</v>
      </c>
      <c r="E657" t="s">
        <v>929</v>
      </c>
      <c r="F657" t="s">
        <v>908</v>
      </c>
      <c r="G657" t="s">
        <v>913</v>
      </c>
      <c r="H657" t="s">
        <v>909</v>
      </c>
      <c r="I657" t="s">
        <v>918</v>
      </c>
      <c r="J657" s="2">
        <v>21.422499999999999</v>
      </c>
      <c r="K657" s="2">
        <v>25.631250000000001</v>
      </c>
      <c r="L657" s="2" t="str">
        <f t="shared" si="30"/>
        <v>25–30°C</v>
      </c>
      <c r="M657" s="3">
        <v>72.833299999999994</v>
      </c>
      <c r="N657" s="3" t="str">
        <f t="shared" si="31"/>
        <v>60–80%</v>
      </c>
      <c r="O657" s="2">
        <v>15.874779</v>
      </c>
      <c r="P657" s="2" t="str">
        <f t="shared" si="32"/>
        <v>15–20 km/h</v>
      </c>
      <c r="Q657" s="2">
        <v>1008</v>
      </c>
      <c r="R657" s="2">
        <v>6501</v>
      </c>
      <c r="S657" s="2">
        <v>7509</v>
      </c>
    </row>
    <row r="658" spans="1:19" x14ac:dyDescent="0.3">
      <c r="A658" s="2">
        <v>657</v>
      </c>
      <c r="B658" s="1" t="s">
        <v>853</v>
      </c>
      <c r="C658" t="s">
        <v>906</v>
      </c>
      <c r="D658">
        <v>2019</v>
      </c>
      <c r="E658" t="s">
        <v>929</v>
      </c>
      <c r="F658" t="s">
        <v>908</v>
      </c>
      <c r="G658" t="s">
        <v>914</v>
      </c>
      <c r="H658" t="s">
        <v>909</v>
      </c>
      <c r="I658" t="s">
        <v>918</v>
      </c>
      <c r="J658" s="2">
        <v>23.096653</v>
      </c>
      <c r="K658" s="2">
        <v>26.8948</v>
      </c>
      <c r="L658" s="2" t="str">
        <f t="shared" si="30"/>
        <v>25–30°C</v>
      </c>
      <c r="M658" s="3">
        <v>81.5</v>
      </c>
      <c r="N658" s="3" t="str">
        <f t="shared" si="31"/>
        <v>80–100%</v>
      </c>
      <c r="O658" s="2">
        <v>9.0419180000000008</v>
      </c>
      <c r="P658" s="2" t="str">
        <f t="shared" si="32"/>
        <v>5–10 km/h</v>
      </c>
      <c r="Q658" s="2">
        <v>753</v>
      </c>
      <c r="R658" s="2">
        <v>4671</v>
      </c>
      <c r="S658" s="2">
        <v>5424</v>
      </c>
    </row>
    <row r="659" spans="1:19" x14ac:dyDescent="0.3">
      <c r="A659" s="2">
        <v>658</v>
      </c>
      <c r="B659" s="1" t="s">
        <v>854</v>
      </c>
      <c r="C659" t="s">
        <v>906</v>
      </c>
      <c r="D659">
        <v>2019</v>
      </c>
      <c r="E659" t="s">
        <v>929</v>
      </c>
      <c r="F659" t="s">
        <v>908</v>
      </c>
      <c r="G659" t="s">
        <v>915</v>
      </c>
      <c r="H659" t="s">
        <v>908</v>
      </c>
      <c r="I659" t="s">
        <v>917</v>
      </c>
      <c r="J659" s="2">
        <v>19.850847000000002</v>
      </c>
      <c r="K659" s="2">
        <v>23.642099999999999</v>
      </c>
      <c r="L659" s="2" t="str">
        <f t="shared" si="30"/>
        <v>20–25°C</v>
      </c>
      <c r="M659" s="3">
        <v>57.291699999999999</v>
      </c>
      <c r="N659" s="3" t="str">
        <f t="shared" si="31"/>
        <v>40–60%</v>
      </c>
      <c r="O659" s="2">
        <v>7.8749789999999997</v>
      </c>
      <c r="P659" s="2" t="str">
        <f t="shared" si="32"/>
        <v>5–10 km/h</v>
      </c>
      <c r="Q659" s="2">
        <v>2806</v>
      </c>
      <c r="R659" s="2">
        <v>5284</v>
      </c>
      <c r="S659" s="2">
        <v>8090</v>
      </c>
    </row>
    <row r="660" spans="1:19" x14ac:dyDescent="0.3">
      <c r="A660" s="2">
        <v>659</v>
      </c>
      <c r="B660" s="1" t="s">
        <v>855</v>
      </c>
      <c r="C660" t="s">
        <v>906</v>
      </c>
      <c r="D660">
        <v>2019</v>
      </c>
      <c r="E660" t="s">
        <v>929</v>
      </c>
      <c r="F660" t="s">
        <v>908</v>
      </c>
      <c r="G660" t="s">
        <v>916</v>
      </c>
      <c r="H660" t="s">
        <v>908</v>
      </c>
      <c r="I660" t="s">
        <v>917</v>
      </c>
      <c r="J660" s="2">
        <v>19.030847000000001</v>
      </c>
      <c r="K660" s="2">
        <v>22.821449999999999</v>
      </c>
      <c r="L660" s="2" t="str">
        <f t="shared" si="30"/>
        <v>20–25°C</v>
      </c>
      <c r="M660" s="3">
        <v>51</v>
      </c>
      <c r="N660" s="3" t="str">
        <f t="shared" si="31"/>
        <v>40–60%</v>
      </c>
      <c r="O660" s="2">
        <v>11.125617999999999</v>
      </c>
      <c r="P660" s="2" t="str">
        <f t="shared" si="32"/>
        <v>10–15 km/h</v>
      </c>
      <c r="Q660" s="2">
        <v>2132</v>
      </c>
      <c r="R660" s="2">
        <v>4692</v>
      </c>
      <c r="S660" s="2">
        <v>6824</v>
      </c>
    </row>
    <row r="661" spans="1:19" x14ac:dyDescent="0.3">
      <c r="A661" s="2">
        <v>660</v>
      </c>
      <c r="B661" s="1" t="s">
        <v>856</v>
      </c>
      <c r="C661" t="s">
        <v>906</v>
      </c>
      <c r="D661">
        <v>2019</v>
      </c>
      <c r="E661" t="s">
        <v>929</v>
      </c>
      <c r="F661" t="s">
        <v>908</v>
      </c>
      <c r="G661" t="s">
        <v>910</v>
      </c>
      <c r="H661" t="s">
        <v>909</v>
      </c>
      <c r="I661" t="s">
        <v>917</v>
      </c>
      <c r="J661" s="2">
        <v>19.987500000000001</v>
      </c>
      <c r="K661" s="2">
        <v>24.147099999999998</v>
      </c>
      <c r="L661" s="2" t="str">
        <f t="shared" si="30"/>
        <v>20–25°C</v>
      </c>
      <c r="M661" s="3">
        <v>56.833300000000001</v>
      </c>
      <c r="N661" s="3" t="str">
        <f t="shared" si="31"/>
        <v>40–60%</v>
      </c>
      <c r="O661" s="2">
        <v>5.4593810999999999</v>
      </c>
      <c r="P661" s="2" t="str">
        <f t="shared" si="32"/>
        <v>5–10 km/h</v>
      </c>
      <c r="Q661" s="2">
        <v>830</v>
      </c>
      <c r="R661" s="2">
        <v>6228</v>
      </c>
      <c r="S661" s="2">
        <v>7058</v>
      </c>
    </row>
    <row r="662" spans="1:19" x14ac:dyDescent="0.3">
      <c r="A662" s="2">
        <v>661</v>
      </c>
      <c r="B662" s="1" t="s">
        <v>857</v>
      </c>
      <c r="C662" t="s">
        <v>906</v>
      </c>
      <c r="D662">
        <v>2019</v>
      </c>
      <c r="E662" t="s">
        <v>929</v>
      </c>
      <c r="F662" t="s">
        <v>908</v>
      </c>
      <c r="G662" t="s">
        <v>911</v>
      </c>
      <c r="H662" t="s">
        <v>909</v>
      </c>
      <c r="I662" t="s">
        <v>917</v>
      </c>
      <c r="J662" s="2">
        <v>22.310846999999999</v>
      </c>
      <c r="K662" s="2">
        <v>26.5152</v>
      </c>
      <c r="L662" s="2" t="str">
        <f t="shared" si="30"/>
        <v>25–30°C</v>
      </c>
      <c r="M662" s="3">
        <v>64.166700000000006</v>
      </c>
      <c r="N662" s="3" t="str">
        <f t="shared" si="31"/>
        <v>60–80%</v>
      </c>
      <c r="O662" s="2">
        <v>6.3345685999999999</v>
      </c>
      <c r="P662" s="2" t="str">
        <f t="shared" si="32"/>
        <v>5–10 km/h</v>
      </c>
      <c r="Q662" s="2">
        <v>841</v>
      </c>
      <c r="R662" s="2">
        <v>6625</v>
      </c>
      <c r="S662" s="2">
        <v>7466</v>
      </c>
    </row>
    <row r="663" spans="1:19" x14ac:dyDescent="0.3">
      <c r="A663" s="2">
        <v>662</v>
      </c>
      <c r="B663" s="1" t="s">
        <v>858</v>
      </c>
      <c r="C663" t="s">
        <v>906</v>
      </c>
      <c r="D663">
        <v>2019</v>
      </c>
      <c r="E663" t="s">
        <v>929</v>
      </c>
      <c r="F663" t="s">
        <v>908</v>
      </c>
      <c r="G663" t="s">
        <v>912</v>
      </c>
      <c r="H663" t="s">
        <v>909</v>
      </c>
      <c r="I663" t="s">
        <v>917</v>
      </c>
      <c r="J663" s="2">
        <v>24.087499999999999</v>
      </c>
      <c r="K663" s="2">
        <v>27.936050000000002</v>
      </c>
      <c r="L663" s="2" t="str">
        <f t="shared" si="30"/>
        <v>25–30°C</v>
      </c>
      <c r="M663" s="3">
        <v>63.625</v>
      </c>
      <c r="N663" s="3" t="str">
        <f t="shared" si="31"/>
        <v>60–80%</v>
      </c>
      <c r="O663" s="2">
        <v>4.8762064000000001</v>
      </c>
      <c r="P663" s="2" t="str">
        <f t="shared" si="32"/>
        <v>0–5 km/h</v>
      </c>
      <c r="Q663" s="2">
        <v>795</v>
      </c>
      <c r="R663" s="2">
        <v>6898</v>
      </c>
      <c r="S663" s="2">
        <v>7693</v>
      </c>
    </row>
    <row r="664" spans="1:19" x14ac:dyDescent="0.3">
      <c r="A664" s="2">
        <v>663</v>
      </c>
      <c r="B664" s="1" t="s">
        <v>859</v>
      </c>
      <c r="C664" t="s">
        <v>906</v>
      </c>
      <c r="D664">
        <v>2019</v>
      </c>
      <c r="E664" t="s">
        <v>929</v>
      </c>
      <c r="F664" t="s">
        <v>908</v>
      </c>
      <c r="G664" t="s">
        <v>913</v>
      </c>
      <c r="H664" t="s">
        <v>909</v>
      </c>
      <c r="I664" t="s">
        <v>918</v>
      </c>
      <c r="J664" s="2">
        <v>22.55</v>
      </c>
      <c r="K664" s="2">
        <v>26.484400000000001</v>
      </c>
      <c r="L664" s="2" t="str">
        <f t="shared" si="30"/>
        <v>25–30°C</v>
      </c>
      <c r="M664" s="3">
        <v>80.041700000000006</v>
      </c>
      <c r="N664" s="3" t="str">
        <f t="shared" si="31"/>
        <v>80–100%</v>
      </c>
      <c r="O664" s="2">
        <v>8.3331250000000008</v>
      </c>
      <c r="P664" s="2" t="str">
        <f t="shared" si="32"/>
        <v>5–10 km/h</v>
      </c>
      <c r="Q664" s="2">
        <v>875</v>
      </c>
      <c r="R664" s="2">
        <v>6484</v>
      </c>
      <c r="S664" s="2">
        <v>7359</v>
      </c>
    </row>
    <row r="665" spans="1:19" x14ac:dyDescent="0.3">
      <c r="A665" s="2">
        <v>664</v>
      </c>
      <c r="B665" s="1" t="s">
        <v>860</v>
      </c>
      <c r="C665" t="s">
        <v>906</v>
      </c>
      <c r="D665">
        <v>2019</v>
      </c>
      <c r="E665" t="s">
        <v>929</v>
      </c>
      <c r="F665" t="s">
        <v>908</v>
      </c>
      <c r="G665" t="s">
        <v>914</v>
      </c>
      <c r="H665" t="s">
        <v>909</v>
      </c>
      <c r="I665" t="s">
        <v>918</v>
      </c>
      <c r="J665" s="2">
        <v>22.379152999999999</v>
      </c>
      <c r="K665" s="2">
        <v>26.137499999999999</v>
      </c>
      <c r="L665" s="2" t="str">
        <f t="shared" si="30"/>
        <v>25–30°C</v>
      </c>
      <c r="M665" s="3">
        <v>80.708299999999994</v>
      </c>
      <c r="N665" s="3" t="str">
        <f t="shared" si="31"/>
        <v>80–100%</v>
      </c>
      <c r="O665" s="2">
        <v>8.8752890000000004</v>
      </c>
      <c r="P665" s="2" t="str">
        <f t="shared" si="32"/>
        <v>5–10 km/h</v>
      </c>
      <c r="Q665" s="2">
        <v>1182</v>
      </c>
      <c r="R665" s="2">
        <v>6262</v>
      </c>
      <c r="S665" s="2">
        <v>7444</v>
      </c>
    </row>
    <row r="666" spans="1:19" x14ac:dyDescent="0.3">
      <c r="A666" s="2">
        <v>665</v>
      </c>
      <c r="B666" s="1" t="s">
        <v>861</v>
      </c>
      <c r="C666" t="s">
        <v>906</v>
      </c>
      <c r="D666">
        <v>2019</v>
      </c>
      <c r="E666" t="s">
        <v>929</v>
      </c>
      <c r="F666" t="s">
        <v>908</v>
      </c>
      <c r="G666" t="s">
        <v>915</v>
      </c>
      <c r="H666" t="s">
        <v>908</v>
      </c>
      <c r="I666" t="s">
        <v>918</v>
      </c>
      <c r="J666" s="2">
        <v>21.73</v>
      </c>
      <c r="K666" s="2">
        <v>25.75665</v>
      </c>
      <c r="L666" s="2" t="str">
        <f t="shared" si="30"/>
        <v>25–30°C</v>
      </c>
      <c r="M666" s="3">
        <v>72</v>
      </c>
      <c r="N666" s="3" t="str">
        <f t="shared" si="31"/>
        <v>60–80%</v>
      </c>
      <c r="O666" s="2">
        <v>15.791364</v>
      </c>
      <c r="P666" s="2" t="str">
        <f t="shared" si="32"/>
        <v>15–20 km/h</v>
      </c>
      <c r="Q666" s="2">
        <v>2643</v>
      </c>
      <c r="R666" s="2">
        <v>5209</v>
      </c>
      <c r="S666" s="2">
        <v>7852</v>
      </c>
    </row>
    <row r="667" spans="1:19" x14ac:dyDescent="0.3">
      <c r="A667" s="2">
        <v>666</v>
      </c>
      <c r="B667" s="1" t="s">
        <v>862</v>
      </c>
      <c r="C667" t="s">
        <v>906</v>
      </c>
      <c r="D667">
        <v>2019</v>
      </c>
      <c r="E667" t="s">
        <v>929</v>
      </c>
      <c r="F667" t="s">
        <v>908</v>
      </c>
      <c r="G667" t="s">
        <v>916</v>
      </c>
      <c r="H667" t="s">
        <v>908</v>
      </c>
      <c r="I667" t="s">
        <v>918</v>
      </c>
      <c r="J667" s="2">
        <v>19.577500000000001</v>
      </c>
      <c r="K667" s="2">
        <v>23.388549999999999</v>
      </c>
      <c r="L667" s="2" t="str">
        <f t="shared" si="30"/>
        <v>20–25°C</v>
      </c>
      <c r="M667" s="3">
        <v>69.458299999999994</v>
      </c>
      <c r="N667" s="3" t="str">
        <f t="shared" si="31"/>
        <v>60–80%</v>
      </c>
      <c r="O667" s="2">
        <v>26.666536000000001</v>
      </c>
      <c r="P667" s="2" t="str">
        <f t="shared" si="32"/>
        <v>25–30 km/h</v>
      </c>
      <c r="Q667" s="2">
        <v>998</v>
      </c>
      <c r="R667" s="2">
        <v>3461</v>
      </c>
      <c r="S667" s="2">
        <v>4459</v>
      </c>
    </row>
    <row r="668" spans="1:19" x14ac:dyDescent="0.3">
      <c r="A668" s="2">
        <v>667</v>
      </c>
      <c r="B668" s="1" t="s">
        <v>863</v>
      </c>
      <c r="C668" t="s">
        <v>906</v>
      </c>
      <c r="D668">
        <v>2019</v>
      </c>
      <c r="E668" t="s">
        <v>929</v>
      </c>
      <c r="F668" t="s">
        <v>908</v>
      </c>
      <c r="G668" t="s">
        <v>910</v>
      </c>
      <c r="H668" t="s">
        <v>909</v>
      </c>
      <c r="I668" t="s">
        <v>919</v>
      </c>
      <c r="J668" s="2">
        <v>18.04</v>
      </c>
      <c r="K668" s="2">
        <v>21.97</v>
      </c>
      <c r="L668" s="2" t="str">
        <f t="shared" si="30"/>
        <v>20–25°C</v>
      </c>
      <c r="M668" s="3">
        <v>88</v>
      </c>
      <c r="N668" s="3" t="str">
        <f t="shared" si="31"/>
        <v>80–100%</v>
      </c>
      <c r="O668" s="2">
        <v>23.999400000000001</v>
      </c>
      <c r="P668" s="2" t="str">
        <f t="shared" si="32"/>
        <v>20–25 km/h</v>
      </c>
      <c r="Q668" s="2">
        <v>2</v>
      </c>
      <c r="R668" s="2">
        <v>20</v>
      </c>
      <c r="S668" s="2">
        <v>22</v>
      </c>
    </row>
    <row r="669" spans="1:19" x14ac:dyDescent="0.3">
      <c r="A669" s="2">
        <v>668</v>
      </c>
      <c r="B669" s="1" t="s">
        <v>864</v>
      </c>
      <c r="C669" t="s">
        <v>906</v>
      </c>
      <c r="D669">
        <v>2019</v>
      </c>
      <c r="E669" t="s">
        <v>929</v>
      </c>
      <c r="F669" t="s">
        <v>908</v>
      </c>
      <c r="G669" t="s">
        <v>911</v>
      </c>
      <c r="H669" t="s">
        <v>909</v>
      </c>
      <c r="I669" t="s">
        <v>918</v>
      </c>
      <c r="J669" s="2">
        <v>13.045462000000001</v>
      </c>
      <c r="K669" s="2">
        <v>15.49545</v>
      </c>
      <c r="L669" s="2" t="str">
        <f t="shared" si="30"/>
        <v>15–20°C</v>
      </c>
      <c r="M669" s="3">
        <v>82.545500000000004</v>
      </c>
      <c r="N669" s="3" t="str">
        <f t="shared" si="31"/>
        <v>80–100%</v>
      </c>
      <c r="O669" s="2">
        <v>14.271603000000001</v>
      </c>
      <c r="P669" s="2" t="str">
        <f t="shared" si="32"/>
        <v>10–15 km/h</v>
      </c>
      <c r="Q669" s="2">
        <v>87</v>
      </c>
      <c r="R669" s="2">
        <v>1009</v>
      </c>
      <c r="S669" s="2">
        <v>1096</v>
      </c>
    </row>
    <row r="670" spans="1:19" x14ac:dyDescent="0.3">
      <c r="A670" s="2">
        <v>669</v>
      </c>
      <c r="B670" s="1" t="s">
        <v>865</v>
      </c>
      <c r="C670" t="s">
        <v>906</v>
      </c>
      <c r="D670">
        <v>2019</v>
      </c>
      <c r="E670" t="s">
        <v>929</v>
      </c>
      <c r="F670" t="s">
        <v>908</v>
      </c>
      <c r="G670" t="s">
        <v>912</v>
      </c>
      <c r="H670" t="s">
        <v>909</v>
      </c>
      <c r="I670" t="s">
        <v>918</v>
      </c>
      <c r="J670" s="2">
        <v>14.657500000000001</v>
      </c>
      <c r="K670" s="2">
        <v>18.055</v>
      </c>
      <c r="L670" s="2" t="str">
        <f t="shared" si="30"/>
        <v>15–20°C</v>
      </c>
      <c r="M670" s="3">
        <v>66.666700000000006</v>
      </c>
      <c r="N670" s="3" t="str">
        <f t="shared" si="31"/>
        <v>60–80%</v>
      </c>
      <c r="O670" s="2">
        <v>11.166689</v>
      </c>
      <c r="P670" s="2" t="str">
        <f t="shared" si="32"/>
        <v>10–15 km/h</v>
      </c>
      <c r="Q670" s="2">
        <v>419</v>
      </c>
      <c r="R670" s="2">
        <v>5147</v>
      </c>
      <c r="S670" s="2">
        <v>5566</v>
      </c>
    </row>
    <row r="671" spans="1:19" x14ac:dyDescent="0.3">
      <c r="A671" s="2">
        <v>670</v>
      </c>
      <c r="B671" s="1">
        <v>43476</v>
      </c>
      <c r="C671" t="s">
        <v>906</v>
      </c>
      <c r="D671">
        <v>2019</v>
      </c>
      <c r="E671" t="s">
        <v>930</v>
      </c>
      <c r="F671" t="s">
        <v>908</v>
      </c>
      <c r="G671" t="s">
        <v>913</v>
      </c>
      <c r="H671" t="s">
        <v>909</v>
      </c>
      <c r="I671" t="s">
        <v>918</v>
      </c>
      <c r="J671" s="2">
        <v>14.999153</v>
      </c>
      <c r="K671" s="2">
        <v>18.4971</v>
      </c>
      <c r="L671" s="2" t="str">
        <f t="shared" si="30"/>
        <v>15–20°C</v>
      </c>
      <c r="M671" s="3">
        <v>58.166699999999999</v>
      </c>
      <c r="N671" s="3" t="str">
        <f t="shared" si="31"/>
        <v>40–60%</v>
      </c>
      <c r="O671" s="2">
        <v>10.542182</v>
      </c>
      <c r="P671" s="2" t="str">
        <f t="shared" si="32"/>
        <v>10–15 km/h</v>
      </c>
      <c r="Q671" s="2">
        <v>466</v>
      </c>
      <c r="R671" s="2">
        <v>5520</v>
      </c>
      <c r="S671" s="2">
        <v>5986</v>
      </c>
    </row>
    <row r="672" spans="1:19" x14ac:dyDescent="0.3">
      <c r="A672" s="2">
        <v>671</v>
      </c>
      <c r="B672" s="1">
        <v>43507</v>
      </c>
      <c r="C672" t="s">
        <v>906</v>
      </c>
      <c r="D672">
        <v>2019</v>
      </c>
      <c r="E672" t="s">
        <v>930</v>
      </c>
      <c r="F672" t="s">
        <v>908</v>
      </c>
      <c r="G672" t="s">
        <v>914</v>
      </c>
      <c r="H672" t="s">
        <v>909</v>
      </c>
      <c r="I672" t="s">
        <v>917</v>
      </c>
      <c r="J672" s="2">
        <v>14.555</v>
      </c>
      <c r="K672" s="2">
        <v>17.802099999999999</v>
      </c>
      <c r="L672" s="2" t="str">
        <f t="shared" si="30"/>
        <v>15–20°C</v>
      </c>
      <c r="M672" s="3">
        <v>52.208300000000001</v>
      </c>
      <c r="N672" s="3" t="str">
        <f t="shared" si="31"/>
        <v>40–60%</v>
      </c>
      <c r="O672" s="2">
        <v>17.833725000000001</v>
      </c>
      <c r="P672" s="2" t="str">
        <f t="shared" si="32"/>
        <v>15–20 km/h</v>
      </c>
      <c r="Q672" s="2">
        <v>618</v>
      </c>
      <c r="R672" s="2">
        <v>5229</v>
      </c>
      <c r="S672" s="2">
        <v>5847</v>
      </c>
    </row>
    <row r="673" spans="1:19" x14ac:dyDescent="0.3">
      <c r="A673" s="2">
        <v>672</v>
      </c>
      <c r="B673" s="1">
        <v>43535</v>
      </c>
      <c r="C673" t="s">
        <v>906</v>
      </c>
      <c r="D673">
        <v>2019</v>
      </c>
      <c r="E673" t="s">
        <v>930</v>
      </c>
      <c r="F673" t="s">
        <v>908</v>
      </c>
      <c r="G673" t="s">
        <v>915</v>
      </c>
      <c r="H673" t="s">
        <v>908</v>
      </c>
      <c r="I673" t="s">
        <v>918</v>
      </c>
      <c r="J673" s="2">
        <v>14.076653</v>
      </c>
      <c r="K673" s="2">
        <v>16.192299999999999</v>
      </c>
      <c r="L673" s="2" t="str">
        <f t="shared" si="30"/>
        <v>15–20°C</v>
      </c>
      <c r="M673" s="3">
        <v>49.125</v>
      </c>
      <c r="N673" s="3" t="str">
        <f t="shared" si="31"/>
        <v>40–60%</v>
      </c>
      <c r="O673" s="2">
        <v>18.125443000000001</v>
      </c>
      <c r="P673" s="2" t="str">
        <f t="shared" si="32"/>
        <v>15–20 km/h</v>
      </c>
      <c r="Q673" s="2">
        <v>1029</v>
      </c>
      <c r="R673" s="2">
        <v>4109</v>
      </c>
      <c r="S673" s="2">
        <v>5138</v>
      </c>
    </row>
    <row r="674" spans="1:19" x14ac:dyDescent="0.3">
      <c r="A674" s="2">
        <v>673</v>
      </c>
      <c r="B674" s="1">
        <v>43566</v>
      </c>
      <c r="C674" t="s">
        <v>906</v>
      </c>
      <c r="D674">
        <v>2019</v>
      </c>
      <c r="E674" t="s">
        <v>930</v>
      </c>
      <c r="F674" t="s">
        <v>908</v>
      </c>
      <c r="G674" t="s">
        <v>916</v>
      </c>
      <c r="H674" t="s">
        <v>908</v>
      </c>
      <c r="I674" t="s">
        <v>917</v>
      </c>
      <c r="J674" s="2">
        <v>13.359152999999999</v>
      </c>
      <c r="K674" s="2">
        <v>16.476900000000001</v>
      </c>
      <c r="L674" s="2" t="str">
        <f t="shared" si="30"/>
        <v>15–20°C</v>
      </c>
      <c r="M674" s="3">
        <v>53.291699999999999</v>
      </c>
      <c r="N674" s="3" t="str">
        <f t="shared" si="31"/>
        <v>40–60%</v>
      </c>
      <c r="O674" s="2">
        <v>12.000235999999999</v>
      </c>
      <c r="P674" s="2" t="str">
        <f t="shared" si="32"/>
        <v>10–15 km/h</v>
      </c>
      <c r="Q674" s="2">
        <v>1201</v>
      </c>
      <c r="R674" s="2">
        <v>3906</v>
      </c>
      <c r="S674" s="2">
        <v>5107</v>
      </c>
    </row>
    <row r="675" spans="1:19" x14ac:dyDescent="0.3">
      <c r="A675" s="2">
        <v>674</v>
      </c>
      <c r="B675" s="1">
        <v>43596</v>
      </c>
      <c r="C675" t="s">
        <v>906</v>
      </c>
      <c r="D675">
        <v>2019</v>
      </c>
      <c r="E675" t="s">
        <v>930</v>
      </c>
      <c r="F675" t="s">
        <v>908</v>
      </c>
      <c r="G675" t="s">
        <v>910</v>
      </c>
      <c r="H675" t="s">
        <v>909</v>
      </c>
      <c r="I675" t="s">
        <v>917</v>
      </c>
      <c r="J675" s="2">
        <v>13.085846999999999</v>
      </c>
      <c r="K675" s="2">
        <v>15.40375</v>
      </c>
      <c r="L675" s="2" t="str">
        <f t="shared" si="30"/>
        <v>15–20°C</v>
      </c>
      <c r="M675" s="3">
        <v>49.416699999999999</v>
      </c>
      <c r="N675" s="3" t="str">
        <f t="shared" si="31"/>
        <v>40–60%</v>
      </c>
      <c r="O675" s="2">
        <v>15.833774999999999</v>
      </c>
      <c r="P675" s="2" t="str">
        <f t="shared" si="32"/>
        <v>15–20 km/h</v>
      </c>
      <c r="Q675" s="2">
        <v>378</v>
      </c>
      <c r="R675" s="2">
        <v>4881</v>
      </c>
      <c r="S675" s="2">
        <v>5259</v>
      </c>
    </row>
    <row r="676" spans="1:19" x14ac:dyDescent="0.3">
      <c r="A676" s="2">
        <v>675</v>
      </c>
      <c r="B676" s="1">
        <v>43627</v>
      </c>
      <c r="C676" t="s">
        <v>906</v>
      </c>
      <c r="D676">
        <v>2019</v>
      </c>
      <c r="E676" t="s">
        <v>930</v>
      </c>
      <c r="F676" t="s">
        <v>908</v>
      </c>
      <c r="G676" t="s">
        <v>911</v>
      </c>
      <c r="H676" t="s">
        <v>909</v>
      </c>
      <c r="I676" t="s">
        <v>917</v>
      </c>
      <c r="J676" s="2">
        <v>11.514153</v>
      </c>
      <c r="K676" s="2">
        <v>14.07835</v>
      </c>
      <c r="L676" s="2" t="str">
        <f t="shared" si="30"/>
        <v>10–15°C</v>
      </c>
      <c r="M676" s="3">
        <v>56.708300000000001</v>
      </c>
      <c r="N676" s="3" t="str">
        <f t="shared" si="31"/>
        <v>40–60%</v>
      </c>
      <c r="O676" s="2">
        <v>11.625370999999999</v>
      </c>
      <c r="P676" s="2" t="str">
        <f t="shared" si="32"/>
        <v>10–15 km/h</v>
      </c>
      <c r="Q676" s="2">
        <v>466</v>
      </c>
      <c r="R676" s="2">
        <v>5220</v>
      </c>
      <c r="S676" s="2">
        <v>5686</v>
      </c>
    </row>
    <row r="677" spans="1:19" x14ac:dyDescent="0.3">
      <c r="A677" s="2">
        <v>676</v>
      </c>
      <c r="B677" s="1">
        <v>43657</v>
      </c>
      <c r="C677" t="s">
        <v>906</v>
      </c>
      <c r="D677">
        <v>2019</v>
      </c>
      <c r="E677" t="s">
        <v>930</v>
      </c>
      <c r="F677" t="s">
        <v>908</v>
      </c>
      <c r="G677" t="s">
        <v>912</v>
      </c>
      <c r="H677" t="s">
        <v>909</v>
      </c>
      <c r="I677" t="s">
        <v>918</v>
      </c>
      <c r="J677" s="2">
        <v>12.129153000000001</v>
      </c>
      <c r="K677" s="2">
        <v>13.73105</v>
      </c>
      <c r="L677" s="2" t="str">
        <f t="shared" si="30"/>
        <v>10–15°C</v>
      </c>
      <c r="M677" s="3">
        <v>54.75</v>
      </c>
      <c r="N677" s="3" t="str">
        <f t="shared" si="31"/>
        <v>40–60%</v>
      </c>
      <c r="O677" s="2">
        <v>20.375236000000001</v>
      </c>
      <c r="P677" s="2" t="str">
        <f t="shared" si="32"/>
        <v>20–25 km/h</v>
      </c>
      <c r="Q677" s="2">
        <v>326</v>
      </c>
      <c r="R677" s="2">
        <v>4709</v>
      </c>
      <c r="S677" s="2">
        <v>5035</v>
      </c>
    </row>
    <row r="678" spans="1:19" x14ac:dyDescent="0.3">
      <c r="A678" s="2">
        <v>677</v>
      </c>
      <c r="B678" s="1">
        <v>43688</v>
      </c>
      <c r="C678" t="s">
        <v>906</v>
      </c>
      <c r="D678">
        <v>2019</v>
      </c>
      <c r="E678" t="s">
        <v>930</v>
      </c>
      <c r="F678" t="s">
        <v>908</v>
      </c>
      <c r="G678" t="s">
        <v>913</v>
      </c>
      <c r="H678" t="s">
        <v>909</v>
      </c>
      <c r="I678" t="s">
        <v>917</v>
      </c>
      <c r="J678" s="2">
        <v>14.439133999999999</v>
      </c>
      <c r="K678" s="2">
        <v>17.094550000000002</v>
      </c>
      <c r="L678" s="2" t="str">
        <f t="shared" si="30"/>
        <v>15–20°C</v>
      </c>
      <c r="M678" s="3">
        <v>33.347799999999999</v>
      </c>
      <c r="N678" s="3" t="str">
        <f t="shared" si="31"/>
        <v>20–40%</v>
      </c>
      <c r="O678" s="2">
        <v>23.304945</v>
      </c>
      <c r="P678" s="2" t="str">
        <f t="shared" si="32"/>
        <v>20–25 km/h</v>
      </c>
      <c r="Q678" s="2">
        <v>340</v>
      </c>
      <c r="R678" s="2">
        <v>4975</v>
      </c>
      <c r="S678" s="2">
        <v>5315</v>
      </c>
    </row>
    <row r="679" spans="1:19" x14ac:dyDescent="0.3">
      <c r="A679" s="2">
        <v>678</v>
      </c>
      <c r="B679" s="1">
        <v>43719</v>
      </c>
      <c r="C679" t="s">
        <v>906</v>
      </c>
      <c r="D679">
        <v>2019</v>
      </c>
      <c r="E679" t="s">
        <v>930</v>
      </c>
      <c r="F679" t="s">
        <v>908</v>
      </c>
      <c r="G679" t="s">
        <v>914</v>
      </c>
      <c r="H679" t="s">
        <v>909</v>
      </c>
      <c r="I679" t="s">
        <v>917</v>
      </c>
      <c r="J679" s="2">
        <v>14.828347000000001</v>
      </c>
      <c r="K679" s="2">
        <v>17.77065</v>
      </c>
      <c r="L679" s="2" t="str">
        <f t="shared" si="30"/>
        <v>15–20°C</v>
      </c>
      <c r="M679" s="3">
        <v>54.083300000000001</v>
      </c>
      <c r="N679" s="3" t="str">
        <f t="shared" si="31"/>
        <v>40–60%</v>
      </c>
      <c r="O679" s="2">
        <v>14.375386000000001</v>
      </c>
      <c r="P679" s="2" t="str">
        <f t="shared" si="32"/>
        <v>10–15 km/h</v>
      </c>
      <c r="Q679" s="2">
        <v>709</v>
      </c>
      <c r="R679" s="2">
        <v>5283</v>
      </c>
      <c r="S679" s="2">
        <v>5992</v>
      </c>
    </row>
    <row r="680" spans="1:19" x14ac:dyDescent="0.3">
      <c r="A680" s="2">
        <v>679</v>
      </c>
      <c r="B680" s="1">
        <v>43749</v>
      </c>
      <c r="C680" t="s">
        <v>906</v>
      </c>
      <c r="D680">
        <v>2019</v>
      </c>
      <c r="E680" t="s">
        <v>930</v>
      </c>
      <c r="F680" t="s">
        <v>908</v>
      </c>
      <c r="G680" t="s">
        <v>915</v>
      </c>
      <c r="H680" t="s">
        <v>908</v>
      </c>
      <c r="I680" t="s">
        <v>917</v>
      </c>
      <c r="J680" s="2">
        <v>15.955847</v>
      </c>
      <c r="K680" s="2">
        <v>19.696850000000001</v>
      </c>
      <c r="L680" s="2" t="str">
        <f t="shared" si="30"/>
        <v>15–20°C</v>
      </c>
      <c r="M680" s="3">
        <v>64.541700000000006</v>
      </c>
      <c r="N680" s="3" t="str">
        <f t="shared" si="31"/>
        <v>60–80%</v>
      </c>
      <c r="O680" s="2">
        <v>3.8756686</v>
      </c>
      <c r="P680" s="2" t="str">
        <f t="shared" si="32"/>
        <v>0–5 km/h</v>
      </c>
      <c r="Q680" s="2">
        <v>2090</v>
      </c>
      <c r="R680" s="2">
        <v>4446</v>
      </c>
      <c r="S680" s="2">
        <v>6536</v>
      </c>
    </row>
    <row r="681" spans="1:19" x14ac:dyDescent="0.3">
      <c r="A681" s="2">
        <v>680</v>
      </c>
      <c r="B681" s="1">
        <v>43780</v>
      </c>
      <c r="C681" t="s">
        <v>906</v>
      </c>
      <c r="D681">
        <v>2019</v>
      </c>
      <c r="E681" t="s">
        <v>930</v>
      </c>
      <c r="F681" t="s">
        <v>908</v>
      </c>
      <c r="G681" t="s">
        <v>916</v>
      </c>
      <c r="H681" t="s">
        <v>908</v>
      </c>
      <c r="I681" t="s">
        <v>917</v>
      </c>
      <c r="J681" s="2">
        <v>17.254152999999999</v>
      </c>
      <c r="K681" s="2">
        <v>21.085650000000001</v>
      </c>
      <c r="L681" s="2" t="str">
        <f t="shared" si="30"/>
        <v>20–25°C</v>
      </c>
      <c r="M681" s="3">
        <v>65.916700000000006</v>
      </c>
      <c r="N681" s="3" t="str">
        <f t="shared" si="31"/>
        <v>60–80%</v>
      </c>
      <c r="O681" s="2">
        <v>8.5425000000000004</v>
      </c>
      <c r="P681" s="2" t="str">
        <f t="shared" si="32"/>
        <v>5–10 km/h</v>
      </c>
      <c r="Q681" s="2">
        <v>2290</v>
      </c>
      <c r="R681" s="2">
        <v>4562</v>
      </c>
      <c r="S681" s="2">
        <v>6852</v>
      </c>
    </row>
    <row r="682" spans="1:19" x14ac:dyDescent="0.3">
      <c r="A682" s="2">
        <v>681</v>
      </c>
      <c r="B682" s="1">
        <v>43810</v>
      </c>
      <c r="C682" t="s">
        <v>906</v>
      </c>
      <c r="D682">
        <v>2019</v>
      </c>
      <c r="E682" t="s">
        <v>930</v>
      </c>
      <c r="F682" t="s">
        <v>909</v>
      </c>
      <c r="G682" t="s">
        <v>910</v>
      </c>
      <c r="H682" t="s">
        <v>908</v>
      </c>
      <c r="I682" t="s">
        <v>917</v>
      </c>
      <c r="J682" s="2">
        <v>19.885000000000002</v>
      </c>
      <c r="K682" s="2">
        <v>23.76915</v>
      </c>
      <c r="L682" s="2" t="str">
        <f t="shared" si="30"/>
        <v>20–25°C</v>
      </c>
      <c r="M682" s="3">
        <v>74.166700000000006</v>
      </c>
      <c r="N682" s="3" t="str">
        <f t="shared" si="31"/>
        <v>60–80%</v>
      </c>
      <c r="O682" s="2">
        <v>11.625639</v>
      </c>
      <c r="P682" s="2" t="str">
        <f t="shared" si="32"/>
        <v>10–15 km/h</v>
      </c>
      <c r="Q682" s="2">
        <v>1097</v>
      </c>
      <c r="R682" s="2">
        <v>5172</v>
      </c>
      <c r="S682" s="2">
        <v>6269</v>
      </c>
    </row>
    <row r="683" spans="1:19" x14ac:dyDescent="0.3">
      <c r="A683" s="2">
        <v>682</v>
      </c>
      <c r="B683" s="1" t="s">
        <v>866</v>
      </c>
      <c r="C683" t="s">
        <v>906</v>
      </c>
      <c r="D683">
        <v>2019</v>
      </c>
      <c r="E683" t="s">
        <v>930</v>
      </c>
      <c r="F683" t="s">
        <v>908</v>
      </c>
      <c r="G683" t="s">
        <v>911</v>
      </c>
      <c r="H683" t="s">
        <v>909</v>
      </c>
      <c r="I683" t="s">
        <v>918</v>
      </c>
      <c r="J683" s="2">
        <v>14.076653</v>
      </c>
      <c r="K683" s="2">
        <v>16.161249999999999</v>
      </c>
      <c r="L683" s="2" t="str">
        <f t="shared" si="30"/>
        <v>15–20°C</v>
      </c>
      <c r="M683" s="3">
        <v>66.291700000000006</v>
      </c>
      <c r="N683" s="3" t="str">
        <f t="shared" si="31"/>
        <v>60–80%</v>
      </c>
      <c r="O683" s="2">
        <v>22.917082000000001</v>
      </c>
      <c r="P683" s="2" t="str">
        <f t="shared" si="32"/>
        <v>20–25 km/h</v>
      </c>
      <c r="Q683" s="2">
        <v>327</v>
      </c>
      <c r="R683" s="2">
        <v>3767</v>
      </c>
      <c r="S683" s="2">
        <v>4094</v>
      </c>
    </row>
    <row r="684" spans="1:19" x14ac:dyDescent="0.3">
      <c r="A684" s="2">
        <v>683</v>
      </c>
      <c r="B684" s="1" t="s">
        <v>867</v>
      </c>
      <c r="C684" t="s">
        <v>906</v>
      </c>
      <c r="D684">
        <v>2019</v>
      </c>
      <c r="E684" t="s">
        <v>930</v>
      </c>
      <c r="F684" t="s">
        <v>908</v>
      </c>
      <c r="G684" t="s">
        <v>912</v>
      </c>
      <c r="H684" t="s">
        <v>909</v>
      </c>
      <c r="I684" t="s">
        <v>917</v>
      </c>
      <c r="J684" s="2">
        <v>11.855847000000001</v>
      </c>
      <c r="K684" s="2">
        <v>14.078150000000001</v>
      </c>
      <c r="L684" s="2" t="str">
        <f t="shared" si="30"/>
        <v>10–15°C</v>
      </c>
      <c r="M684" s="3">
        <v>55.208300000000001</v>
      </c>
      <c r="N684" s="3" t="str">
        <f t="shared" si="31"/>
        <v>40–60%</v>
      </c>
      <c r="O684" s="2">
        <v>13.374874999999999</v>
      </c>
      <c r="P684" s="2" t="str">
        <f t="shared" si="32"/>
        <v>10–15 km/h</v>
      </c>
      <c r="Q684" s="2">
        <v>373</v>
      </c>
      <c r="R684" s="2">
        <v>5122</v>
      </c>
      <c r="S684" s="2">
        <v>5495</v>
      </c>
    </row>
    <row r="685" spans="1:19" x14ac:dyDescent="0.3">
      <c r="A685" s="2">
        <v>684</v>
      </c>
      <c r="B685" s="1" t="s">
        <v>868</v>
      </c>
      <c r="C685" t="s">
        <v>906</v>
      </c>
      <c r="D685">
        <v>2019</v>
      </c>
      <c r="E685" t="s">
        <v>930</v>
      </c>
      <c r="F685" t="s">
        <v>908</v>
      </c>
      <c r="G685" t="s">
        <v>913</v>
      </c>
      <c r="H685" t="s">
        <v>909</v>
      </c>
      <c r="I685" t="s">
        <v>918</v>
      </c>
      <c r="J685" s="2">
        <v>13.188347</v>
      </c>
      <c r="K685" s="2">
        <v>16.224599999999999</v>
      </c>
      <c r="L685" s="2" t="str">
        <f t="shared" si="30"/>
        <v>15–20°C</v>
      </c>
      <c r="M685" s="3">
        <v>62.041699999999999</v>
      </c>
      <c r="N685" s="3" t="str">
        <f t="shared" si="31"/>
        <v>60–80%</v>
      </c>
      <c r="O685" s="2">
        <v>10.250128999999999</v>
      </c>
      <c r="P685" s="2" t="str">
        <f t="shared" si="32"/>
        <v>10–15 km/h</v>
      </c>
      <c r="Q685" s="2">
        <v>320</v>
      </c>
      <c r="R685" s="2">
        <v>5125</v>
      </c>
      <c r="S685" s="2">
        <v>5445</v>
      </c>
    </row>
    <row r="686" spans="1:19" x14ac:dyDescent="0.3">
      <c r="A686" s="2">
        <v>685</v>
      </c>
      <c r="B686" s="1" t="s">
        <v>869</v>
      </c>
      <c r="C686" t="s">
        <v>906</v>
      </c>
      <c r="D686">
        <v>2019</v>
      </c>
      <c r="E686" t="s">
        <v>930</v>
      </c>
      <c r="F686" t="s">
        <v>908</v>
      </c>
      <c r="G686" t="s">
        <v>914</v>
      </c>
      <c r="H686" t="s">
        <v>909</v>
      </c>
      <c r="I686" t="s">
        <v>917</v>
      </c>
      <c r="J686" s="2">
        <v>14.145</v>
      </c>
      <c r="K686" s="2">
        <v>17.360199999999999</v>
      </c>
      <c r="L686" s="2" t="str">
        <f t="shared" si="30"/>
        <v>15–20°C</v>
      </c>
      <c r="M686" s="3">
        <v>52.458300000000001</v>
      </c>
      <c r="N686" s="3" t="str">
        <f t="shared" si="31"/>
        <v>40–60%</v>
      </c>
      <c r="O686" s="2">
        <v>11.458674999999999</v>
      </c>
      <c r="P686" s="2" t="str">
        <f t="shared" si="32"/>
        <v>10–15 km/h</v>
      </c>
      <c r="Q686" s="2">
        <v>484</v>
      </c>
      <c r="R686" s="2">
        <v>5214</v>
      </c>
      <c r="S686" s="2">
        <v>5698</v>
      </c>
    </row>
    <row r="687" spans="1:19" x14ac:dyDescent="0.3">
      <c r="A687" s="2">
        <v>686</v>
      </c>
      <c r="B687" s="1" t="s">
        <v>870</v>
      </c>
      <c r="C687" t="s">
        <v>906</v>
      </c>
      <c r="D687">
        <v>2019</v>
      </c>
      <c r="E687" t="s">
        <v>930</v>
      </c>
      <c r="F687" t="s">
        <v>908</v>
      </c>
      <c r="G687" t="s">
        <v>915</v>
      </c>
      <c r="H687" t="s">
        <v>908</v>
      </c>
      <c r="I687" t="s">
        <v>917</v>
      </c>
      <c r="J687" s="2">
        <v>13.324999999999999</v>
      </c>
      <c r="K687" s="2">
        <v>16.31915</v>
      </c>
      <c r="L687" s="2" t="str">
        <f t="shared" si="30"/>
        <v>15–20°C</v>
      </c>
      <c r="M687" s="3">
        <v>54.541699999999999</v>
      </c>
      <c r="N687" s="3" t="str">
        <f t="shared" si="31"/>
        <v>40–60%</v>
      </c>
      <c r="O687" s="2">
        <v>12.041843</v>
      </c>
      <c r="P687" s="2" t="str">
        <f t="shared" si="32"/>
        <v>10–15 km/h</v>
      </c>
      <c r="Q687" s="2">
        <v>1313</v>
      </c>
      <c r="R687" s="2">
        <v>4316</v>
      </c>
      <c r="S687" s="2">
        <v>5629</v>
      </c>
    </row>
    <row r="688" spans="1:19" x14ac:dyDescent="0.3">
      <c r="A688" s="2">
        <v>687</v>
      </c>
      <c r="B688" s="1" t="s">
        <v>871</v>
      </c>
      <c r="C688" t="s">
        <v>906</v>
      </c>
      <c r="D688">
        <v>2019</v>
      </c>
      <c r="E688" t="s">
        <v>930</v>
      </c>
      <c r="F688" t="s">
        <v>908</v>
      </c>
      <c r="G688" t="s">
        <v>916</v>
      </c>
      <c r="H688" t="s">
        <v>908</v>
      </c>
      <c r="I688" t="s">
        <v>917</v>
      </c>
      <c r="J688" s="2">
        <v>14.0425</v>
      </c>
      <c r="K688" s="2">
        <v>16.8873</v>
      </c>
      <c r="L688" s="2" t="str">
        <f t="shared" si="30"/>
        <v>15–20°C</v>
      </c>
      <c r="M688" s="3">
        <v>69.291700000000006</v>
      </c>
      <c r="N688" s="3" t="str">
        <f t="shared" si="31"/>
        <v>60–80%</v>
      </c>
      <c r="O688" s="2">
        <v>15.250004000000001</v>
      </c>
      <c r="P688" s="2" t="str">
        <f t="shared" si="32"/>
        <v>15–20 km/h</v>
      </c>
      <c r="Q688" s="2">
        <v>922</v>
      </c>
      <c r="R688" s="2">
        <v>3747</v>
      </c>
      <c r="S688" s="2">
        <v>4669</v>
      </c>
    </row>
    <row r="689" spans="1:19" x14ac:dyDescent="0.3">
      <c r="A689" s="2">
        <v>688</v>
      </c>
      <c r="B689" s="1" t="s">
        <v>872</v>
      </c>
      <c r="C689" t="s">
        <v>906</v>
      </c>
      <c r="D689">
        <v>2019</v>
      </c>
      <c r="E689" t="s">
        <v>930</v>
      </c>
      <c r="F689" t="s">
        <v>908</v>
      </c>
      <c r="G689" t="s">
        <v>910</v>
      </c>
      <c r="H689" t="s">
        <v>909</v>
      </c>
      <c r="I689" t="s">
        <v>918</v>
      </c>
      <c r="J689" s="2">
        <v>15.614153</v>
      </c>
      <c r="K689" s="2">
        <v>18.78105</v>
      </c>
      <c r="L689" s="2" t="str">
        <f t="shared" si="30"/>
        <v>15–20°C</v>
      </c>
      <c r="M689" s="3">
        <v>62.333300000000001</v>
      </c>
      <c r="N689" s="3" t="str">
        <f t="shared" si="31"/>
        <v>60–80%</v>
      </c>
      <c r="O689" s="2">
        <v>15.749489000000001</v>
      </c>
      <c r="P689" s="2" t="str">
        <f t="shared" si="32"/>
        <v>15–20 km/h</v>
      </c>
      <c r="Q689" s="2">
        <v>449</v>
      </c>
      <c r="R689" s="2">
        <v>5050</v>
      </c>
      <c r="S689" s="2">
        <v>5499</v>
      </c>
    </row>
    <row r="690" spans="1:19" x14ac:dyDescent="0.3">
      <c r="A690" s="2">
        <v>689</v>
      </c>
      <c r="B690" s="1" t="s">
        <v>873</v>
      </c>
      <c r="C690" t="s">
        <v>906</v>
      </c>
      <c r="D690">
        <v>2019</v>
      </c>
      <c r="E690" t="s">
        <v>930</v>
      </c>
      <c r="F690" t="s">
        <v>908</v>
      </c>
      <c r="G690" t="s">
        <v>911</v>
      </c>
      <c r="H690" t="s">
        <v>909</v>
      </c>
      <c r="I690" t="s">
        <v>918</v>
      </c>
      <c r="J690" s="2">
        <v>15.340847</v>
      </c>
      <c r="K690" s="2">
        <v>19.033349999999999</v>
      </c>
      <c r="L690" s="2" t="str">
        <f t="shared" si="30"/>
        <v>15–20°C</v>
      </c>
      <c r="M690" s="3">
        <v>68.5</v>
      </c>
      <c r="N690" s="3" t="str">
        <f t="shared" si="31"/>
        <v>60–80%</v>
      </c>
      <c r="O690" s="2">
        <v>5.5425750000000003</v>
      </c>
      <c r="P690" s="2" t="str">
        <f t="shared" si="32"/>
        <v>5–10 km/h</v>
      </c>
      <c r="Q690" s="2">
        <v>534</v>
      </c>
      <c r="R690" s="2">
        <v>5100</v>
      </c>
      <c r="S690" s="2">
        <v>5634</v>
      </c>
    </row>
    <row r="691" spans="1:19" x14ac:dyDescent="0.3">
      <c r="A691" s="2">
        <v>690</v>
      </c>
      <c r="B691" s="1" t="s">
        <v>874</v>
      </c>
      <c r="C691" t="s">
        <v>906</v>
      </c>
      <c r="D691">
        <v>2019</v>
      </c>
      <c r="E691" t="s">
        <v>930</v>
      </c>
      <c r="F691" t="s">
        <v>908</v>
      </c>
      <c r="G691" t="s">
        <v>912</v>
      </c>
      <c r="H691" t="s">
        <v>909</v>
      </c>
      <c r="I691" t="s">
        <v>917</v>
      </c>
      <c r="J691" s="2">
        <v>14.486653</v>
      </c>
      <c r="K691" s="2">
        <v>18.244599999999998</v>
      </c>
      <c r="L691" s="2" t="str">
        <f t="shared" si="30"/>
        <v>15–20°C</v>
      </c>
      <c r="M691" s="3">
        <v>61.375</v>
      </c>
      <c r="N691" s="3" t="str">
        <f t="shared" si="31"/>
        <v>60–80%</v>
      </c>
      <c r="O691" s="2">
        <v>6.9174819999999997</v>
      </c>
      <c r="P691" s="2" t="str">
        <f t="shared" si="32"/>
        <v>5–10 km/h</v>
      </c>
      <c r="Q691" s="2">
        <v>615</v>
      </c>
      <c r="R691" s="2">
        <v>4531</v>
      </c>
      <c r="S691" s="2">
        <v>5146</v>
      </c>
    </row>
    <row r="692" spans="1:19" x14ac:dyDescent="0.3">
      <c r="A692" s="2">
        <v>691</v>
      </c>
      <c r="B692" s="1" t="s">
        <v>875</v>
      </c>
      <c r="C692" t="s">
        <v>906</v>
      </c>
      <c r="D692">
        <v>2019</v>
      </c>
      <c r="E692" t="s">
        <v>930</v>
      </c>
      <c r="F692" t="s">
        <v>909</v>
      </c>
      <c r="G692" t="s">
        <v>913</v>
      </c>
      <c r="H692" t="s">
        <v>908</v>
      </c>
      <c r="I692" t="s">
        <v>917</v>
      </c>
      <c r="J692" s="2">
        <v>13.94</v>
      </c>
      <c r="K692" s="2">
        <v>17.518550000000001</v>
      </c>
      <c r="L692" s="2" t="str">
        <f t="shared" si="30"/>
        <v>15–20°C</v>
      </c>
      <c r="M692" s="3">
        <v>58.041699999999999</v>
      </c>
      <c r="N692" s="3" t="str">
        <f t="shared" si="31"/>
        <v>40–60%</v>
      </c>
      <c r="O692" s="2">
        <v>3.5423436000000001</v>
      </c>
      <c r="P692" s="2" t="str">
        <f t="shared" si="32"/>
        <v>0–5 km/h</v>
      </c>
      <c r="Q692" s="2">
        <v>955</v>
      </c>
      <c r="R692" s="2">
        <v>1470</v>
      </c>
      <c r="S692" s="2">
        <v>2425</v>
      </c>
    </row>
    <row r="693" spans="1:19" x14ac:dyDescent="0.3">
      <c r="A693" s="2">
        <v>692</v>
      </c>
      <c r="B693" s="1" t="s">
        <v>876</v>
      </c>
      <c r="C693" t="s">
        <v>906</v>
      </c>
      <c r="D693">
        <v>2019</v>
      </c>
      <c r="E693" t="s">
        <v>930</v>
      </c>
      <c r="F693" t="s">
        <v>908</v>
      </c>
      <c r="G693" t="s">
        <v>914</v>
      </c>
      <c r="H693" t="s">
        <v>909</v>
      </c>
      <c r="I693" t="s">
        <v>917</v>
      </c>
      <c r="J693" s="2">
        <v>15.101653000000001</v>
      </c>
      <c r="K693" s="2">
        <v>18.938949999999998</v>
      </c>
      <c r="L693" s="2" t="str">
        <f t="shared" si="30"/>
        <v>15–20°C</v>
      </c>
      <c r="M693" s="3">
        <v>56.875</v>
      </c>
      <c r="N693" s="3" t="str">
        <f t="shared" si="31"/>
        <v>40–60%</v>
      </c>
      <c r="O693" s="2">
        <v>9.9174070000000007</v>
      </c>
      <c r="P693" s="2" t="str">
        <f t="shared" si="32"/>
        <v>5–10 km/h</v>
      </c>
      <c r="Q693" s="2">
        <v>1603</v>
      </c>
      <c r="R693" s="2">
        <v>2307</v>
      </c>
      <c r="S693" s="2">
        <v>3910</v>
      </c>
    </row>
    <row r="694" spans="1:19" x14ac:dyDescent="0.3">
      <c r="A694" s="2">
        <v>693</v>
      </c>
      <c r="B694" s="1" t="s">
        <v>877</v>
      </c>
      <c r="C694" t="s">
        <v>906</v>
      </c>
      <c r="D694">
        <v>2019</v>
      </c>
      <c r="E694" t="s">
        <v>930</v>
      </c>
      <c r="F694" t="s">
        <v>908</v>
      </c>
      <c r="G694" t="s">
        <v>915</v>
      </c>
      <c r="H694" t="s">
        <v>908</v>
      </c>
      <c r="I694" t="s">
        <v>917</v>
      </c>
      <c r="J694" s="2">
        <v>11.411652999999999</v>
      </c>
      <c r="K694" s="2">
        <v>12.437099999999999</v>
      </c>
      <c r="L694" s="2" t="str">
        <f t="shared" si="30"/>
        <v>10–15°C</v>
      </c>
      <c r="M694" s="3">
        <v>40.458300000000001</v>
      </c>
      <c r="N694" s="3" t="str">
        <f t="shared" si="31"/>
        <v>40–60%</v>
      </c>
      <c r="O694" s="2">
        <v>25.250357000000001</v>
      </c>
      <c r="P694" s="2" t="str">
        <f t="shared" si="32"/>
        <v>25–30 km/h</v>
      </c>
      <c r="Q694" s="2">
        <v>532</v>
      </c>
      <c r="R694" s="2">
        <v>1745</v>
      </c>
      <c r="S694" s="2">
        <v>2277</v>
      </c>
    </row>
    <row r="695" spans="1:19" x14ac:dyDescent="0.3">
      <c r="A695" s="2">
        <v>694</v>
      </c>
      <c r="B695" s="1" t="s">
        <v>878</v>
      </c>
      <c r="C695" t="s">
        <v>906</v>
      </c>
      <c r="D695">
        <v>2019</v>
      </c>
      <c r="E695" t="s">
        <v>930</v>
      </c>
      <c r="F695" t="s">
        <v>908</v>
      </c>
      <c r="G695" t="s">
        <v>916</v>
      </c>
      <c r="H695" t="s">
        <v>908</v>
      </c>
      <c r="I695" t="s">
        <v>917</v>
      </c>
      <c r="J695" s="2">
        <v>10.079153</v>
      </c>
      <c r="K695" s="2">
        <v>12.879149999999999</v>
      </c>
      <c r="L695" s="2" t="str">
        <f t="shared" si="30"/>
        <v>10–15°C</v>
      </c>
      <c r="M695" s="3">
        <v>46.833300000000001</v>
      </c>
      <c r="N695" s="3" t="str">
        <f t="shared" si="31"/>
        <v>40–60%</v>
      </c>
      <c r="O695" s="2">
        <v>10.083500000000001</v>
      </c>
      <c r="P695" s="2" t="str">
        <f t="shared" si="32"/>
        <v>10–15 km/h</v>
      </c>
      <c r="Q695" s="2">
        <v>309</v>
      </c>
      <c r="R695" s="2">
        <v>2115</v>
      </c>
      <c r="S695" s="2">
        <v>2424</v>
      </c>
    </row>
    <row r="696" spans="1:19" x14ac:dyDescent="0.3">
      <c r="A696" s="2">
        <v>695</v>
      </c>
      <c r="B696" s="1" t="s">
        <v>879</v>
      </c>
      <c r="C696" t="s">
        <v>906</v>
      </c>
      <c r="D696">
        <v>2019</v>
      </c>
      <c r="E696" t="s">
        <v>930</v>
      </c>
      <c r="F696" t="s">
        <v>908</v>
      </c>
      <c r="G696" t="s">
        <v>910</v>
      </c>
      <c r="H696" t="s">
        <v>909</v>
      </c>
      <c r="I696" t="s">
        <v>917</v>
      </c>
      <c r="J696" s="2">
        <v>12.846653</v>
      </c>
      <c r="K696" s="2">
        <v>16.950199999999999</v>
      </c>
      <c r="L696" s="2" t="str">
        <f t="shared" si="30"/>
        <v>15–20°C</v>
      </c>
      <c r="M696" s="3">
        <v>53.541699999999999</v>
      </c>
      <c r="N696" s="3" t="str">
        <f t="shared" si="31"/>
        <v>40–60%</v>
      </c>
      <c r="O696" s="2">
        <v>3.1255500000000001</v>
      </c>
      <c r="P696" s="2" t="str">
        <f t="shared" si="32"/>
        <v>0–5 km/h</v>
      </c>
      <c r="Q696" s="2">
        <v>337</v>
      </c>
      <c r="R696" s="2">
        <v>4750</v>
      </c>
      <c r="S696" s="2">
        <v>5087</v>
      </c>
    </row>
    <row r="697" spans="1:19" x14ac:dyDescent="0.3">
      <c r="A697" s="2">
        <v>696</v>
      </c>
      <c r="B697" s="1" t="s">
        <v>880</v>
      </c>
      <c r="C697" t="s">
        <v>906</v>
      </c>
      <c r="D697">
        <v>2019</v>
      </c>
      <c r="E697" t="s">
        <v>930</v>
      </c>
      <c r="F697" t="s">
        <v>908</v>
      </c>
      <c r="G697" t="s">
        <v>911</v>
      </c>
      <c r="H697" t="s">
        <v>909</v>
      </c>
      <c r="I697" t="s">
        <v>918</v>
      </c>
      <c r="J697" s="2">
        <v>11.958347</v>
      </c>
      <c r="K697" s="2">
        <v>14.0779</v>
      </c>
      <c r="L697" s="2" t="str">
        <f t="shared" si="30"/>
        <v>10–15°C</v>
      </c>
      <c r="M697" s="3">
        <v>78.666700000000006</v>
      </c>
      <c r="N697" s="3" t="str">
        <f t="shared" si="31"/>
        <v>60–80%</v>
      </c>
      <c r="O697" s="2">
        <v>15.916653999999999</v>
      </c>
      <c r="P697" s="2" t="str">
        <f t="shared" si="32"/>
        <v>15–20 km/h</v>
      </c>
      <c r="Q697" s="2">
        <v>123</v>
      </c>
      <c r="R697" s="2">
        <v>3836</v>
      </c>
      <c r="S697" s="2">
        <v>3959</v>
      </c>
    </row>
    <row r="698" spans="1:19" x14ac:dyDescent="0.3">
      <c r="A698" s="2">
        <v>697</v>
      </c>
      <c r="B698" s="1" t="s">
        <v>881</v>
      </c>
      <c r="C698" t="s">
        <v>906</v>
      </c>
      <c r="D698">
        <v>2019</v>
      </c>
      <c r="E698" t="s">
        <v>930</v>
      </c>
      <c r="F698" t="s">
        <v>908</v>
      </c>
      <c r="G698" t="s">
        <v>912</v>
      </c>
      <c r="H698" t="s">
        <v>909</v>
      </c>
      <c r="I698" t="s">
        <v>917</v>
      </c>
      <c r="J698" s="2">
        <v>12.163347</v>
      </c>
      <c r="K698" s="2">
        <v>14.488099999999999</v>
      </c>
      <c r="L698" s="2" t="str">
        <f t="shared" si="30"/>
        <v>10–15°C</v>
      </c>
      <c r="M698" s="3">
        <v>50.625</v>
      </c>
      <c r="N698" s="3" t="str">
        <f t="shared" si="31"/>
        <v>40–60%</v>
      </c>
      <c r="O698" s="2">
        <v>14.125007</v>
      </c>
      <c r="P698" s="2" t="str">
        <f t="shared" si="32"/>
        <v>10–15 km/h</v>
      </c>
      <c r="Q698" s="2">
        <v>198</v>
      </c>
      <c r="R698" s="2">
        <v>5062</v>
      </c>
      <c r="S698" s="2">
        <v>5260</v>
      </c>
    </row>
    <row r="699" spans="1:19" x14ac:dyDescent="0.3">
      <c r="A699" s="2">
        <v>698</v>
      </c>
      <c r="B699" s="1" t="s">
        <v>882</v>
      </c>
      <c r="C699" t="s">
        <v>906</v>
      </c>
      <c r="D699">
        <v>2019</v>
      </c>
      <c r="E699" t="s">
        <v>930</v>
      </c>
      <c r="F699" t="s">
        <v>908</v>
      </c>
      <c r="G699" t="s">
        <v>913</v>
      </c>
      <c r="H699" t="s">
        <v>909</v>
      </c>
      <c r="I699" t="s">
        <v>917</v>
      </c>
      <c r="J699" s="2">
        <v>11.51567</v>
      </c>
      <c r="K699" s="2">
        <v>14.921099999999999</v>
      </c>
      <c r="L699" s="2" t="str">
        <f t="shared" si="30"/>
        <v>10–15°C</v>
      </c>
      <c r="M699" s="3">
        <v>55.565199999999997</v>
      </c>
      <c r="N699" s="3" t="str">
        <f t="shared" si="31"/>
        <v>40–60%</v>
      </c>
      <c r="O699" s="2">
        <v>7.7399740000000001</v>
      </c>
      <c r="P699" s="2" t="str">
        <f t="shared" si="32"/>
        <v>5–10 km/h</v>
      </c>
      <c r="Q699" s="2">
        <v>243</v>
      </c>
      <c r="R699" s="2">
        <v>5080</v>
      </c>
      <c r="S699" s="2">
        <v>5323</v>
      </c>
    </row>
    <row r="700" spans="1:19" x14ac:dyDescent="0.3">
      <c r="A700" s="2">
        <v>699</v>
      </c>
      <c r="B700" s="1" t="s">
        <v>883</v>
      </c>
      <c r="C700" t="s">
        <v>906</v>
      </c>
      <c r="D700">
        <v>2019</v>
      </c>
      <c r="E700" t="s">
        <v>930</v>
      </c>
      <c r="F700" t="s">
        <v>908</v>
      </c>
      <c r="G700" t="s">
        <v>914</v>
      </c>
      <c r="H700" t="s">
        <v>909</v>
      </c>
      <c r="I700" t="s">
        <v>917</v>
      </c>
      <c r="J700" s="2">
        <v>12.231653</v>
      </c>
      <c r="K700" s="2">
        <v>16.193349999999999</v>
      </c>
      <c r="L700" s="2" t="str">
        <f t="shared" si="30"/>
        <v>15–20°C</v>
      </c>
      <c r="M700" s="3">
        <v>64.958299999999994</v>
      </c>
      <c r="N700" s="3" t="str">
        <f t="shared" si="31"/>
        <v>60–80%</v>
      </c>
      <c r="O700" s="2">
        <v>3.9175436000000001</v>
      </c>
      <c r="P700" s="2" t="str">
        <f t="shared" si="32"/>
        <v>0–5 km/h</v>
      </c>
      <c r="Q700" s="2">
        <v>362</v>
      </c>
      <c r="R700" s="2">
        <v>5306</v>
      </c>
      <c r="S700" s="2">
        <v>5668</v>
      </c>
    </row>
    <row r="701" spans="1:19" x14ac:dyDescent="0.3">
      <c r="A701" s="2">
        <v>700</v>
      </c>
      <c r="B701" s="1">
        <v>43477</v>
      </c>
      <c r="C701" t="s">
        <v>906</v>
      </c>
      <c r="D701">
        <v>2019</v>
      </c>
      <c r="E701" t="s">
        <v>931</v>
      </c>
      <c r="F701" t="s">
        <v>908</v>
      </c>
      <c r="G701" t="s">
        <v>915</v>
      </c>
      <c r="H701" t="s">
        <v>908</v>
      </c>
      <c r="I701" t="s">
        <v>918</v>
      </c>
      <c r="J701" s="2">
        <v>12.231653</v>
      </c>
      <c r="K701" s="2">
        <v>15.8452</v>
      </c>
      <c r="L701" s="2" t="str">
        <f t="shared" si="30"/>
        <v>15–20°C</v>
      </c>
      <c r="M701" s="3">
        <v>80.666700000000006</v>
      </c>
      <c r="N701" s="3" t="str">
        <f t="shared" si="31"/>
        <v>80–100%</v>
      </c>
      <c r="O701" s="2">
        <v>4.0001813999999998</v>
      </c>
      <c r="P701" s="2" t="str">
        <f t="shared" si="32"/>
        <v>0–5 km/h</v>
      </c>
      <c r="Q701" s="2">
        <v>951</v>
      </c>
      <c r="R701" s="2">
        <v>4240</v>
      </c>
      <c r="S701" s="2">
        <v>5191</v>
      </c>
    </row>
    <row r="702" spans="1:19" x14ac:dyDescent="0.3">
      <c r="A702" s="2">
        <v>701</v>
      </c>
      <c r="B702" s="1">
        <v>43508</v>
      </c>
      <c r="C702" t="s">
        <v>906</v>
      </c>
      <c r="D702">
        <v>2019</v>
      </c>
      <c r="E702" t="s">
        <v>931</v>
      </c>
      <c r="F702" t="s">
        <v>908</v>
      </c>
      <c r="G702" t="s">
        <v>916</v>
      </c>
      <c r="H702" t="s">
        <v>908</v>
      </c>
      <c r="I702" t="s">
        <v>918</v>
      </c>
      <c r="J702" s="2">
        <v>14.2475</v>
      </c>
      <c r="K702" s="2">
        <v>17.9604</v>
      </c>
      <c r="L702" s="2" t="str">
        <f t="shared" si="30"/>
        <v>15–20°C</v>
      </c>
      <c r="M702" s="3">
        <v>82.333299999999994</v>
      </c>
      <c r="N702" s="3" t="str">
        <f t="shared" si="31"/>
        <v>80–100%</v>
      </c>
      <c r="O702" s="2">
        <v>8.3333929999999992</v>
      </c>
      <c r="P702" s="2" t="str">
        <f t="shared" si="32"/>
        <v>5–10 km/h</v>
      </c>
      <c r="Q702" s="2">
        <v>892</v>
      </c>
      <c r="R702" s="2">
        <v>3757</v>
      </c>
      <c r="S702" s="2">
        <v>4649</v>
      </c>
    </row>
    <row r="703" spans="1:19" x14ac:dyDescent="0.3">
      <c r="A703" s="2">
        <v>702</v>
      </c>
      <c r="B703" s="1">
        <v>43536</v>
      </c>
      <c r="C703" t="s">
        <v>906</v>
      </c>
      <c r="D703">
        <v>2019</v>
      </c>
      <c r="E703" t="s">
        <v>931</v>
      </c>
      <c r="F703" t="s">
        <v>908</v>
      </c>
      <c r="G703" t="s">
        <v>910</v>
      </c>
      <c r="H703" t="s">
        <v>909</v>
      </c>
      <c r="I703" t="s">
        <v>917</v>
      </c>
      <c r="J703" s="2">
        <v>18.552499999999998</v>
      </c>
      <c r="K703" s="2">
        <v>22.7898</v>
      </c>
      <c r="L703" s="2" t="str">
        <f t="shared" si="30"/>
        <v>20–25°C</v>
      </c>
      <c r="M703" s="3">
        <v>76.75</v>
      </c>
      <c r="N703" s="3" t="str">
        <f t="shared" si="31"/>
        <v>60–80%</v>
      </c>
      <c r="O703" s="2">
        <v>5.5422935999999998</v>
      </c>
      <c r="P703" s="2" t="str">
        <f t="shared" si="32"/>
        <v>5–10 km/h</v>
      </c>
      <c r="Q703" s="2">
        <v>555</v>
      </c>
      <c r="R703" s="2">
        <v>5679</v>
      </c>
      <c r="S703" s="2">
        <v>6234</v>
      </c>
    </row>
    <row r="704" spans="1:19" x14ac:dyDescent="0.3">
      <c r="A704" s="2">
        <v>703</v>
      </c>
      <c r="B704" s="1">
        <v>43567</v>
      </c>
      <c r="C704" t="s">
        <v>906</v>
      </c>
      <c r="D704">
        <v>2019</v>
      </c>
      <c r="E704" t="s">
        <v>931</v>
      </c>
      <c r="F704" t="s">
        <v>908</v>
      </c>
      <c r="G704" t="s">
        <v>911</v>
      </c>
      <c r="H704" t="s">
        <v>909</v>
      </c>
      <c r="I704" t="s">
        <v>917</v>
      </c>
      <c r="J704" s="2">
        <v>19.509153000000001</v>
      </c>
      <c r="K704" s="2">
        <v>23.4527</v>
      </c>
      <c r="L704" s="2" t="str">
        <f t="shared" si="30"/>
        <v>20–25°C</v>
      </c>
      <c r="M704" s="3">
        <v>73.375</v>
      </c>
      <c r="N704" s="3" t="str">
        <f t="shared" si="31"/>
        <v>60–80%</v>
      </c>
      <c r="O704" s="2">
        <v>11.666643000000001</v>
      </c>
      <c r="P704" s="2" t="str">
        <f t="shared" si="32"/>
        <v>10–15 km/h</v>
      </c>
      <c r="Q704" s="2">
        <v>551</v>
      </c>
      <c r="R704" s="2">
        <v>6055</v>
      </c>
      <c r="S704" s="2">
        <v>6606</v>
      </c>
    </row>
    <row r="705" spans="1:19" x14ac:dyDescent="0.3">
      <c r="A705" s="2">
        <v>704</v>
      </c>
      <c r="B705" s="1">
        <v>43597</v>
      </c>
      <c r="C705" t="s">
        <v>906</v>
      </c>
      <c r="D705">
        <v>2019</v>
      </c>
      <c r="E705" t="s">
        <v>931</v>
      </c>
      <c r="F705" t="s">
        <v>908</v>
      </c>
      <c r="G705" t="s">
        <v>912</v>
      </c>
      <c r="H705" t="s">
        <v>909</v>
      </c>
      <c r="I705" t="s">
        <v>917</v>
      </c>
      <c r="J705" s="2">
        <v>17.971653</v>
      </c>
      <c r="K705" s="2">
        <v>21.400600000000001</v>
      </c>
      <c r="L705" s="2" t="str">
        <f t="shared" si="30"/>
        <v>20–25°C</v>
      </c>
      <c r="M705" s="3">
        <v>48.5</v>
      </c>
      <c r="N705" s="3" t="str">
        <f t="shared" si="31"/>
        <v>40–60%</v>
      </c>
      <c r="O705" s="2">
        <v>21.709406999999999</v>
      </c>
      <c r="P705" s="2" t="str">
        <f t="shared" si="32"/>
        <v>20–25 km/h</v>
      </c>
      <c r="Q705" s="2">
        <v>331</v>
      </c>
      <c r="R705" s="2">
        <v>5398</v>
      </c>
      <c r="S705" s="2">
        <v>5729</v>
      </c>
    </row>
    <row r="706" spans="1:19" x14ac:dyDescent="0.3">
      <c r="A706" s="2">
        <v>705</v>
      </c>
      <c r="B706" s="1">
        <v>43628</v>
      </c>
      <c r="C706" t="s">
        <v>906</v>
      </c>
      <c r="D706">
        <v>2019</v>
      </c>
      <c r="E706" t="s">
        <v>931</v>
      </c>
      <c r="F706" t="s">
        <v>908</v>
      </c>
      <c r="G706" t="s">
        <v>913</v>
      </c>
      <c r="H706" t="s">
        <v>909</v>
      </c>
      <c r="I706" t="s">
        <v>917</v>
      </c>
      <c r="J706" s="2">
        <v>10.489153</v>
      </c>
      <c r="K706" s="2">
        <v>12.9102</v>
      </c>
      <c r="L706" s="2" t="str">
        <f t="shared" ref="L706:L769" si="33">FLOOR(K706,5)&amp;"–"&amp;FLOOR(K706,5)+5&amp;"°C"</f>
        <v>10–15°C</v>
      </c>
      <c r="M706" s="3">
        <v>50.875</v>
      </c>
      <c r="N706" s="3" t="str">
        <f t="shared" ref="N706:N769" si="34">FLOOR(M706,20)&amp;"–"&amp;FLOOR(M706,20)+20&amp;"%"</f>
        <v>40–60%</v>
      </c>
      <c r="O706" s="2">
        <v>11.708518</v>
      </c>
      <c r="P706" s="2" t="str">
        <f t="shared" ref="P706:P769" si="35">FLOOR(O706,5)&amp;"–"&amp;FLOOR(O706,5)+5&amp;" km/h"</f>
        <v>10–15 km/h</v>
      </c>
      <c r="Q706" s="2">
        <v>340</v>
      </c>
      <c r="R706" s="2">
        <v>5035</v>
      </c>
      <c r="S706" s="2">
        <v>5375</v>
      </c>
    </row>
    <row r="707" spans="1:19" x14ac:dyDescent="0.3">
      <c r="A707" s="2">
        <v>706</v>
      </c>
      <c r="B707" s="1">
        <v>43658</v>
      </c>
      <c r="C707" t="s">
        <v>906</v>
      </c>
      <c r="D707">
        <v>2019</v>
      </c>
      <c r="E707" t="s">
        <v>931</v>
      </c>
      <c r="F707" t="s">
        <v>908</v>
      </c>
      <c r="G707" t="s">
        <v>914</v>
      </c>
      <c r="H707" t="s">
        <v>909</v>
      </c>
      <c r="I707" t="s">
        <v>918</v>
      </c>
      <c r="J707" s="2">
        <v>13.154153000000001</v>
      </c>
      <c r="K707" s="2">
        <v>16.097899999999999</v>
      </c>
      <c r="L707" s="2" t="str">
        <f t="shared" si="33"/>
        <v>15–20°C</v>
      </c>
      <c r="M707" s="3">
        <v>76.416700000000006</v>
      </c>
      <c r="N707" s="3" t="str">
        <f t="shared" si="34"/>
        <v>60–80%</v>
      </c>
      <c r="O707" s="2">
        <v>8.7501999999999995</v>
      </c>
      <c r="P707" s="2" t="str">
        <f t="shared" si="35"/>
        <v>5–10 km/h</v>
      </c>
      <c r="Q707" s="2">
        <v>349</v>
      </c>
      <c r="R707" s="2">
        <v>4659</v>
      </c>
      <c r="S707" s="2">
        <v>5008</v>
      </c>
    </row>
    <row r="708" spans="1:19" x14ac:dyDescent="0.3">
      <c r="A708" s="2">
        <v>707</v>
      </c>
      <c r="B708" s="1">
        <v>43689</v>
      </c>
      <c r="C708" t="s">
        <v>906</v>
      </c>
      <c r="D708">
        <v>2019</v>
      </c>
      <c r="E708" t="s">
        <v>931</v>
      </c>
      <c r="F708" t="s">
        <v>908</v>
      </c>
      <c r="G708" t="s">
        <v>915</v>
      </c>
      <c r="H708" t="s">
        <v>908</v>
      </c>
      <c r="I708" t="s">
        <v>918</v>
      </c>
      <c r="J708" s="2">
        <v>15.648346999999999</v>
      </c>
      <c r="K708" s="2">
        <v>19.4754</v>
      </c>
      <c r="L708" s="2" t="str">
        <f t="shared" si="33"/>
        <v>15–20°C</v>
      </c>
      <c r="M708" s="3">
        <v>91.125</v>
      </c>
      <c r="N708" s="3" t="str">
        <f t="shared" si="34"/>
        <v>80–100%</v>
      </c>
      <c r="O708" s="2">
        <v>6.7923929999999997</v>
      </c>
      <c r="P708" s="2" t="str">
        <f t="shared" si="35"/>
        <v>5–10 km/h</v>
      </c>
      <c r="Q708" s="2">
        <v>1153</v>
      </c>
      <c r="R708" s="2">
        <v>4429</v>
      </c>
      <c r="S708" s="2">
        <v>5582</v>
      </c>
    </row>
    <row r="709" spans="1:19" x14ac:dyDescent="0.3">
      <c r="A709" s="2">
        <v>708</v>
      </c>
      <c r="B709" s="1">
        <v>43720</v>
      </c>
      <c r="C709" t="s">
        <v>906</v>
      </c>
      <c r="D709">
        <v>2019</v>
      </c>
      <c r="E709" t="s">
        <v>931</v>
      </c>
      <c r="F709" t="s">
        <v>908</v>
      </c>
      <c r="G709" t="s">
        <v>916</v>
      </c>
      <c r="H709" t="s">
        <v>908</v>
      </c>
      <c r="I709" t="s">
        <v>918</v>
      </c>
      <c r="J709" s="2">
        <v>15.750847</v>
      </c>
      <c r="K709" s="2">
        <v>19.507300000000001</v>
      </c>
      <c r="L709" s="2" t="str">
        <f t="shared" si="33"/>
        <v>15–20°C</v>
      </c>
      <c r="M709" s="3">
        <v>90.541700000000006</v>
      </c>
      <c r="N709" s="3" t="str">
        <f t="shared" si="34"/>
        <v>80–100%</v>
      </c>
      <c r="O709" s="2">
        <v>10.584325</v>
      </c>
      <c r="P709" s="2" t="str">
        <f t="shared" si="35"/>
        <v>10–15 km/h</v>
      </c>
      <c r="Q709" s="2">
        <v>441</v>
      </c>
      <c r="R709" s="2">
        <v>2787</v>
      </c>
      <c r="S709" s="2">
        <v>3228</v>
      </c>
    </row>
    <row r="710" spans="1:19" x14ac:dyDescent="0.3">
      <c r="A710" s="2">
        <v>709</v>
      </c>
      <c r="B710" s="1">
        <v>43750</v>
      </c>
      <c r="C710" t="s">
        <v>906</v>
      </c>
      <c r="D710">
        <v>2019</v>
      </c>
      <c r="E710" t="s">
        <v>931</v>
      </c>
      <c r="F710" t="s">
        <v>908</v>
      </c>
      <c r="G710" t="s">
        <v>910</v>
      </c>
      <c r="H710" t="s">
        <v>909</v>
      </c>
      <c r="I710" t="s">
        <v>918</v>
      </c>
      <c r="J710" s="2">
        <v>17.869153000000001</v>
      </c>
      <c r="K710" s="2">
        <v>21.778749999999999</v>
      </c>
      <c r="L710" s="2" t="str">
        <f t="shared" si="33"/>
        <v>20–25°C</v>
      </c>
      <c r="M710" s="3">
        <v>92.5</v>
      </c>
      <c r="N710" s="3" t="str">
        <f t="shared" si="34"/>
        <v>80–100%</v>
      </c>
      <c r="O710" s="2">
        <v>12.750636</v>
      </c>
      <c r="P710" s="2" t="str">
        <f t="shared" si="35"/>
        <v>10–15 km/h</v>
      </c>
      <c r="Q710" s="2">
        <v>329</v>
      </c>
      <c r="R710" s="2">
        <v>4841</v>
      </c>
      <c r="S710" s="2">
        <v>5170</v>
      </c>
    </row>
    <row r="711" spans="1:19" x14ac:dyDescent="0.3">
      <c r="A711" s="2">
        <v>710</v>
      </c>
      <c r="B711" s="1">
        <v>43781</v>
      </c>
      <c r="C711" t="s">
        <v>906</v>
      </c>
      <c r="D711">
        <v>2019</v>
      </c>
      <c r="E711" t="s">
        <v>931</v>
      </c>
      <c r="F711" t="s">
        <v>908</v>
      </c>
      <c r="G711" t="s">
        <v>911</v>
      </c>
      <c r="H711" t="s">
        <v>909</v>
      </c>
      <c r="I711" t="s">
        <v>918</v>
      </c>
      <c r="J711" s="2">
        <v>14.486653</v>
      </c>
      <c r="K711" s="2">
        <v>16.918150000000001</v>
      </c>
      <c r="L711" s="2" t="str">
        <f t="shared" si="33"/>
        <v>15–20°C</v>
      </c>
      <c r="M711" s="3">
        <v>59.666699999999999</v>
      </c>
      <c r="N711" s="3" t="str">
        <f t="shared" si="34"/>
        <v>40–60%</v>
      </c>
      <c r="O711" s="2">
        <v>19.834479000000002</v>
      </c>
      <c r="P711" s="2" t="str">
        <f t="shared" si="35"/>
        <v>15–20 km/h</v>
      </c>
      <c r="Q711" s="2">
        <v>282</v>
      </c>
      <c r="R711" s="2">
        <v>5219</v>
      </c>
      <c r="S711" s="2">
        <v>5501</v>
      </c>
    </row>
    <row r="712" spans="1:19" x14ac:dyDescent="0.3">
      <c r="A712" s="2">
        <v>711</v>
      </c>
      <c r="B712" s="1">
        <v>43811</v>
      </c>
      <c r="C712" t="s">
        <v>906</v>
      </c>
      <c r="D712">
        <v>2019</v>
      </c>
      <c r="E712" t="s">
        <v>931</v>
      </c>
      <c r="F712" t="s">
        <v>908</v>
      </c>
      <c r="G712" t="s">
        <v>912</v>
      </c>
      <c r="H712" t="s">
        <v>909</v>
      </c>
      <c r="I712" t="s">
        <v>918</v>
      </c>
      <c r="J712" s="2">
        <v>12.1975</v>
      </c>
      <c r="K712" s="2">
        <v>14.866899999999999</v>
      </c>
      <c r="L712" s="2" t="str">
        <f t="shared" si="33"/>
        <v>10–15°C</v>
      </c>
      <c r="M712" s="3">
        <v>53.833300000000001</v>
      </c>
      <c r="N712" s="3" t="str">
        <f t="shared" si="34"/>
        <v>40–60%</v>
      </c>
      <c r="O712" s="2">
        <v>10.916779</v>
      </c>
      <c r="P712" s="2" t="str">
        <f t="shared" si="35"/>
        <v>10–15 km/h</v>
      </c>
      <c r="Q712" s="2">
        <v>310</v>
      </c>
      <c r="R712" s="2">
        <v>5009</v>
      </c>
      <c r="S712" s="2">
        <v>5319</v>
      </c>
    </row>
    <row r="713" spans="1:19" x14ac:dyDescent="0.3">
      <c r="A713" s="2">
        <v>712</v>
      </c>
      <c r="B713" s="1" t="s">
        <v>884</v>
      </c>
      <c r="C713" t="s">
        <v>906</v>
      </c>
      <c r="D713">
        <v>2019</v>
      </c>
      <c r="E713" t="s">
        <v>931</v>
      </c>
      <c r="F713" t="s">
        <v>908</v>
      </c>
      <c r="G713" t="s">
        <v>913</v>
      </c>
      <c r="H713" t="s">
        <v>909</v>
      </c>
      <c r="I713" t="s">
        <v>917</v>
      </c>
      <c r="J713" s="2">
        <v>12.129153000000001</v>
      </c>
      <c r="K713" s="2">
        <v>14.7094</v>
      </c>
      <c r="L713" s="2" t="str">
        <f t="shared" si="33"/>
        <v>10–15°C</v>
      </c>
      <c r="M713" s="3">
        <v>48.583300000000001</v>
      </c>
      <c r="N713" s="3" t="str">
        <f t="shared" si="34"/>
        <v>40–60%</v>
      </c>
      <c r="O713" s="2">
        <v>11.666643000000001</v>
      </c>
      <c r="P713" s="2" t="str">
        <f t="shared" si="35"/>
        <v>10–15 km/h</v>
      </c>
      <c r="Q713" s="2">
        <v>425</v>
      </c>
      <c r="R713" s="2">
        <v>5107</v>
      </c>
      <c r="S713" s="2">
        <v>5532</v>
      </c>
    </row>
    <row r="714" spans="1:19" x14ac:dyDescent="0.3">
      <c r="A714" s="2">
        <v>713</v>
      </c>
      <c r="B714" s="1" t="s">
        <v>885</v>
      </c>
      <c r="C714" t="s">
        <v>906</v>
      </c>
      <c r="D714">
        <v>2019</v>
      </c>
      <c r="E714" t="s">
        <v>931</v>
      </c>
      <c r="F714" t="s">
        <v>908</v>
      </c>
      <c r="G714" t="s">
        <v>914</v>
      </c>
      <c r="H714" t="s">
        <v>909</v>
      </c>
      <c r="I714" t="s">
        <v>917</v>
      </c>
      <c r="J714" s="2">
        <v>11.548347</v>
      </c>
      <c r="K714" s="2">
        <v>14.7096</v>
      </c>
      <c r="L714" s="2" t="str">
        <f t="shared" si="33"/>
        <v>10–15°C</v>
      </c>
      <c r="M714" s="3">
        <v>64.291700000000006</v>
      </c>
      <c r="N714" s="3" t="str">
        <f t="shared" si="34"/>
        <v>60–80%</v>
      </c>
      <c r="O714" s="2">
        <v>8.7923430000000007</v>
      </c>
      <c r="P714" s="2" t="str">
        <f t="shared" si="35"/>
        <v>5–10 km/h</v>
      </c>
      <c r="Q714" s="2">
        <v>429</v>
      </c>
      <c r="R714" s="2">
        <v>5182</v>
      </c>
      <c r="S714" s="2">
        <v>5611</v>
      </c>
    </row>
    <row r="715" spans="1:19" x14ac:dyDescent="0.3">
      <c r="A715" s="2">
        <v>714</v>
      </c>
      <c r="B715" s="1" t="s">
        <v>886</v>
      </c>
      <c r="C715" t="s">
        <v>906</v>
      </c>
      <c r="D715">
        <v>2019</v>
      </c>
      <c r="E715" t="s">
        <v>931</v>
      </c>
      <c r="F715" t="s">
        <v>908</v>
      </c>
      <c r="G715" t="s">
        <v>915</v>
      </c>
      <c r="H715" t="s">
        <v>908</v>
      </c>
      <c r="I715" t="s">
        <v>917</v>
      </c>
      <c r="J715" s="2">
        <v>13.290846999999999</v>
      </c>
      <c r="K715" s="2">
        <v>16.919149999999998</v>
      </c>
      <c r="L715" s="2" t="str">
        <f t="shared" si="33"/>
        <v>15–20°C</v>
      </c>
      <c r="M715" s="3">
        <v>65.041700000000006</v>
      </c>
      <c r="N715" s="3" t="str">
        <f t="shared" si="34"/>
        <v>60–80%</v>
      </c>
      <c r="O715" s="2">
        <v>7.1254499999999998</v>
      </c>
      <c r="P715" s="2" t="str">
        <f t="shared" si="35"/>
        <v>5–10 km/h</v>
      </c>
      <c r="Q715" s="2">
        <v>767</v>
      </c>
      <c r="R715" s="2">
        <v>4280</v>
      </c>
      <c r="S715" s="2">
        <v>5047</v>
      </c>
    </row>
    <row r="716" spans="1:19" x14ac:dyDescent="0.3">
      <c r="A716" s="2">
        <v>715</v>
      </c>
      <c r="B716" s="1" t="s">
        <v>887</v>
      </c>
      <c r="C716" t="s">
        <v>906</v>
      </c>
      <c r="D716">
        <v>2019</v>
      </c>
      <c r="E716" t="s">
        <v>931</v>
      </c>
      <c r="F716" t="s">
        <v>908</v>
      </c>
      <c r="G716" t="s">
        <v>916</v>
      </c>
      <c r="H716" t="s">
        <v>908</v>
      </c>
      <c r="I716" t="s">
        <v>918</v>
      </c>
      <c r="J716" s="2">
        <v>14.862500000000001</v>
      </c>
      <c r="K716" s="2">
        <v>18.4969</v>
      </c>
      <c r="L716" s="2" t="str">
        <f t="shared" si="33"/>
        <v>15–20°C</v>
      </c>
      <c r="M716" s="3">
        <v>83.875</v>
      </c>
      <c r="N716" s="3" t="str">
        <f t="shared" si="34"/>
        <v>80–100%</v>
      </c>
      <c r="O716" s="2">
        <v>6.749714</v>
      </c>
      <c r="P716" s="2" t="str">
        <f t="shared" si="35"/>
        <v>5–10 km/h</v>
      </c>
      <c r="Q716" s="2">
        <v>538</v>
      </c>
      <c r="R716" s="2">
        <v>3248</v>
      </c>
      <c r="S716" s="2">
        <v>3786</v>
      </c>
    </row>
    <row r="717" spans="1:19" x14ac:dyDescent="0.3">
      <c r="A717" s="2">
        <v>716</v>
      </c>
      <c r="B717" s="1" t="s">
        <v>888</v>
      </c>
      <c r="C717" t="s">
        <v>906</v>
      </c>
      <c r="D717">
        <v>2019</v>
      </c>
      <c r="E717" t="s">
        <v>931</v>
      </c>
      <c r="F717" t="s">
        <v>908</v>
      </c>
      <c r="G717" t="s">
        <v>910</v>
      </c>
      <c r="H717" t="s">
        <v>909</v>
      </c>
      <c r="I717" t="s">
        <v>918</v>
      </c>
      <c r="J717" s="2">
        <v>16.126653000000001</v>
      </c>
      <c r="K717" s="2">
        <v>20.074999999999999</v>
      </c>
      <c r="L717" s="2" t="str">
        <f t="shared" si="33"/>
        <v>20–25°C</v>
      </c>
      <c r="M717" s="3">
        <v>90.708299999999994</v>
      </c>
      <c r="N717" s="3" t="str">
        <f t="shared" si="34"/>
        <v>80–100%</v>
      </c>
      <c r="O717" s="2">
        <v>6.5833060999999997</v>
      </c>
      <c r="P717" s="2" t="str">
        <f t="shared" si="35"/>
        <v>5–10 km/h</v>
      </c>
      <c r="Q717" s="2">
        <v>212</v>
      </c>
      <c r="R717" s="2">
        <v>4373</v>
      </c>
      <c r="S717" s="2">
        <v>4585</v>
      </c>
    </row>
    <row r="718" spans="1:19" x14ac:dyDescent="0.3">
      <c r="A718" s="2">
        <v>717</v>
      </c>
      <c r="B718" s="1" t="s">
        <v>889</v>
      </c>
      <c r="C718" t="s">
        <v>906</v>
      </c>
      <c r="D718">
        <v>2019</v>
      </c>
      <c r="E718" t="s">
        <v>931</v>
      </c>
      <c r="F718" t="s">
        <v>908</v>
      </c>
      <c r="G718" t="s">
        <v>911</v>
      </c>
      <c r="H718" t="s">
        <v>909</v>
      </c>
      <c r="I718" t="s">
        <v>917</v>
      </c>
      <c r="J718" s="2">
        <v>16.844152999999999</v>
      </c>
      <c r="K718" s="2">
        <v>20.485399999999998</v>
      </c>
      <c r="L718" s="2" t="str">
        <f t="shared" si="33"/>
        <v>20–25°C</v>
      </c>
      <c r="M718" s="3">
        <v>66.625</v>
      </c>
      <c r="N718" s="3" t="str">
        <f t="shared" si="34"/>
        <v>60–80%</v>
      </c>
      <c r="O718" s="2">
        <v>14.834068</v>
      </c>
      <c r="P718" s="2" t="str">
        <f t="shared" si="35"/>
        <v>10–15 km/h</v>
      </c>
      <c r="Q718" s="2">
        <v>433</v>
      </c>
      <c r="R718" s="2">
        <v>5124</v>
      </c>
      <c r="S718" s="2">
        <v>5557</v>
      </c>
    </row>
    <row r="719" spans="1:19" x14ac:dyDescent="0.3">
      <c r="A719" s="2">
        <v>718</v>
      </c>
      <c r="B719" s="1" t="s">
        <v>890</v>
      </c>
      <c r="C719" t="s">
        <v>906</v>
      </c>
      <c r="D719">
        <v>2019</v>
      </c>
      <c r="E719" t="s">
        <v>931</v>
      </c>
      <c r="F719" t="s">
        <v>908</v>
      </c>
      <c r="G719" t="s">
        <v>912</v>
      </c>
      <c r="H719" t="s">
        <v>909</v>
      </c>
      <c r="I719" t="s">
        <v>917</v>
      </c>
      <c r="J719" s="2">
        <v>13.6325</v>
      </c>
      <c r="K719" s="2">
        <v>17.1081</v>
      </c>
      <c r="L719" s="2" t="str">
        <f t="shared" si="33"/>
        <v>15–20°C</v>
      </c>
      <c r="M719" s="3">
        <v>62.541699999999999</v>
      </c>
      <c r="N719" s="3" t="str">
        <f t="shared" si="34"/>
        <v>60–80%</v>
      </c>
      <c r="O719" s="2">
        <v>12.334163999999999</v>
      </c>
      <c r="P719" s="2" t="str">
        <f t="shared" si="35"/>
        <v>10–15 km/h</v>
      </c>
      <c r="Q719" s="2">
        <v>333</v>
      </c>
      <c r="R719" s="2">
        <v>4934</v>
      </c>
      <c r="S719" s="2">
        <v>5267</v>
      </c>
    </row>
    <row r="720" spans="1:19" x14ac:dyDescent="0.3">
      <c r="A720" s="2">
        <v>719</v>
      </c>
      <c r="B720" s="1" t="s">
        <v>891</v>
      </c>
      <c r="C720" t="s">
        <v>906</v>
      </c>
      <c r="D720">
        <v>2019</v>
      </c>
      <c r="E720" t="s">
        <v>931</v>
      </c>
      <c r="F720" t="s">
        <v>908</v>
      </c>
      <c r="G720" t="s">
        <v>913</v>
      </c>
      <c r="H720" t="s">
        <v>909</v>
      </c>
      <c r="I720" t="s">
        <v>918</v>
      </c>
      <c r="J720" s="2">
        <v>13.53</v>
      </c>
      <c r="K720" s="2">
        <v>16.760850000000001</v>
      </c>
      <c r="L720" s="2" t="str">
        <f t="shared" si="33"/>
        <v>15–20°C</v>
      </c>
      <c r="M720" s="3">
        <v>66.791700000000006</v>
      </c>
      <c r="N720" s="3" t="str">
        <f t="shared" si="34"/>
        <v>60–80%</v>
      </c>
      <c r="O720" s="2">
        <v>8.8750210000000003</v>
      </c>
      <c r="P720" s="2" t="str">
        <f t="shared" si="35"/>
        <v>5–10 km/h</v>
      </c>
      <c r="Q720" s="2">
        <v>314</v>
      </c>
      <c r="R720" s="2">
        <v>3814</v>
      </c>
      <c r="S720" s="2">
        <v>4128</v>
      </c>
    </row>
    <row r="721" spans="1:19" x14ac:dyDescent="0.3">
      <c r="A721" s="2">
        <v>720</v>
      </c>
      <c r="B721" s="1" t="s">
        <v>892</v>
      </c>
      <c r="C721" t="s">
        <v>907</v>
      </c>
      <c r="D721">
        <v>2019</v>
      </c>
      <c r="E721" t="s">
        <v>931</v>
      </c>
      <c r="F721" t="s">
        <v>908</v>
      </c>
      <c r="G721" t="s">
        <v>914</v>
      </c>
      <c r="H721" t="s">
        <v>909</v>
      </c>
      <c r="I721" t="s">
        <v>918</v>
      </c>
      <c r="J721" s="2">
        <v>13.393347</v>
      </c>
      <c r="K721" s="2">
        <v>15.08835</v>
      </c>
      <c r="L721" s="2" t="str">
        <f t="shared" si="33"/>
        <v>15–20°C</v>
      </c>
      <c r="M721" s="3">
        <v>55.666699999999999</v>
      </c>
      <c r="N721" s="3" t="str">
        <f t="shared" si="34"/>
        <v>40–60%</v>
      </c>
      <c r="O721" s="2">
        <v>25.083660999999999</v>
      </c>
      <c r="P721" s="2" t="str">
        <f t="shared" si="35"/>
        <v>25–30 km/h</v>
      </c>
      <c r="Q721" s="2">
        <v>221</v>
      </c>
      <c r="R721" s="2">
        <v>3402</v>
      </c>
      <c r="S721" s="2">
        <v>3623</v>
      </c>
    </row>
    <row r="722" spans="1:19" x14ac:dyDescent="0.3">
      <c r="A722" s="2">
        <v>721</v>
      </c>
      <c r="B722" s="1" t="s">
        <v>893</v>
      </c>
      <c r="C722" t="s">
        <v>907</v>
      </c>
      <c r="D722">
        <v>2019</v>
      </c>
      <c r="E722" t="s">
        <v>931</v>
      </c>
      <c r="F722" t="s">
        <v>908</v>
      </c>
      <c r="G722" t="s">
        <v>915</v>
      </c>
      <c r="H722" t="s">
        <v>908</v>
      </c>
      <c r="I722" t="s">
        <v>917</v>
      </c>
      <c r="J722" s="2">
        <v>10.899153</v>
      </c>
      <c r="K722" s="2">
        <v>11.80565</v>
      </c>
      <c r="L722" s="2" t="str">
        <f t="shared" si="33"/>
        <v>10–15°C</v>
      </c>
      <c r="M722" s="3">
        <v>44.125</v>
      </c>
      <c r="N722" s="3" t="str">
        <f t="shared" si="34"/>
        <v>40–60%</v>
      </c>
      <c r="O722" s="2">
        <v>27.292182</v>
      </c>
      <c r="P722" s="2" t="str">
        <f t="shared" si="35"/>
        <v>25–30 km/h</v>
      </c>
      <c r="Q722" s="2">
        <v>205</v>
      </c>
      <c r="R722" s="2">
        <v>1544</v>
      </c>
      <c r="S722" s="2">
        <v>1749</v>
      </c>
    </row>
    <row r="723" spans="1:19" x14ac:dyDescent="0.3">
      <c r="A723" s="2">
        <v>722</v>
      </c>
      <c r="B723" s="1" t="s">
        <v>894</v>
      </c>
      <c r="C723" t="s">
        <v>907</v>
      </c>
      <c r="D723">
        <v>2019</v>
      </c>
      <c r="E723" t="s">
        <v>931</v>
      </c>
      <c r="F723" t="s">
        <v>908</v>
      </c>
      <c r="G723" t="s">
        <v>916</v>
      </c>
      <c r="H723" t="s">
        <v>908</v>
      </c>
      <c r="I723" t="s">
        <v>917</v>
      </c>
      <c r="J723" s="2">
        <v>10.079153</v>
      </c>
      <c r="K723" s="2">
        <v>12.973549999999999</v>
      </c>
      <c r="L723" s="2" t="str">
        <f t="shared" si="33"/>
        <v>10–15°C</v>
      </c>
      <c r="M723" s="3">
        <v>51.541699999999999</v>
      </c>
      <c r="N723" s="3" t="str">
        <f t="shared" si="34"/>
        <v>40–60%</v>
      </c>
      <c r="O723" s="2">
        <v>8.9165609999999997</v>
      </c>
      <c r="P723" s="2" t="str">
        <f t="shared" si="35"/>
        <v>5–10 km/h</v>
      </c>
      <c r="Q723" s="2">
        <v>408</v>
      </c>
      <c r="R723" s="2">
        <v>1379</v>
      </c>
      <c r="S723" s="2">
        <v>1787</v>
      </c>
    </row>
    <row r="724" spans="1:19" x14ac:dyDescent="0.3">
      <c r="A724" s="2">
        <v>723</v>
      </c>
      <c r="B724" s="1" t="s">
        <v>895</v>
      </c>
      <c r="C724" t="s">
        <v>907</v>
      </c>
      <c r="D724">
        <v>2019</v>
      </c>
      <c r="E724" t="s">
        <v>931</v>
      </c>
      <c r="F724" t="s">
        <v>908</v>
      </c>
      <c r="G724" t="s">
        <v>910</v>
      </c>
      <c r="H724" t="s">
        <v>909</v>
      </c>
      <c r="I724" t="s">
        <v>918</v>
      </c>
      <c r="J724" s="2">
        <v>9.4834639999999997</v>
      </c>
      <c r="K724" s="2">
        <v>12.945</v>
      </c>
      <c r="L724" s="2" t="str">
        <f t="shared" si="33"/>
        <v>10–15°C</v>
      </c>
      <c r="M724" s="3">
        <v>79.130399999999995</v>
      </c>
      <c r="N724" s="3" t="str">
        <f t="shared" si="34"/>
        <v>60–80%</v>
      </c>
      <c r="O724" s="2">
        <v>5.1744367999999996</v>
      </c>
      <c r="P724" s="2" t="str">
        <f t="shared" si="35"/>
        <v>5–10 km/h</v>
      </c>
      <c r="Q724" s="2">
        <v>174</v>
      </c>
      <c r="R724" s="2">
        <v>746</v>
      </c>
      <c r="S724" s="2">
        <v>920</v>
      </c>
    </row>
    <row r="725" spans="1:19" x14ac:dyDescent="0.3">
      <c r="A725" s="2">
        <v>724</v>
      </c>
      <c r="B725" s="1" t="s">
        <v>896</v>
      </c>
      <c r="C725" t="s">
        <v>907</v>
      </c>
      <c r="D725">
        <v>2019</v>
      </c>
      <c r="E725" t="s">
        <v>931</v>
      </c>
      <c r="F725" t="s">
        <v>909</v>
      </c>
      <c r="G725" t="s">
        <v>911</v>
      </c>
      <c r="H725" t="s">
        <v>908</v>
      </c>
      <c r="I725" t="s">
        <v>918</v>
      </c>
      <c r="J725" s="2">
        <v>11.943464000000001</v>
      </c>
      <c r="K725" s="2">
        <v>14.72325</v>
      </c>
      <c r="L725" s="2" t="str">
        <f t="shared" si="33"/>
        <v>10–15°C</v>
      </c>
      <c r="M725" s="3">
        <v>73.478300000000004</v>
      </c>
      <c r="N725" s="3" t="str">
        <f t="shared" si="34"/>
        <v>60–80%</v>
      </c>
      <c r="O725" s="2">
        <v>11.304641999999999</v>
      </c>
      <c r="P725" s="2" t="str">
        <f t="shared" si="35"/>
        <v>10–15 km/h</v>
      </c>
      <c r="Q725" s="2">
        <v>440</v>
      </c>
      <c r="R725" s="2">
        <v>573</v>
      </c>
      <c r="S725" s="2">
        <v>1013</v>
      </c>
    </row>
    <row r="726" spans="1:19" x14ac:dyDescent="0.3">
      <c r="A726" s="2">
        <v>725</v>
      </c>
      <c r="B726" s="1" t="s">
        <v>897</v>
      </c>
      <c r="C726" t="s">
        <v>907</v>
      </c>
      <c r="D726">
        <v>2019</v>
      </c>
      <c r="E726" t="s">
        <v>931</v>
      </c>
      <c r="F726" t="s">
        <v>908</v>
      </c>
      <c r="G726" t="s">
        <v>912</v>
      </c>
      <c r="H726" t="s">
        <v>909</v>
      </c>
      <c r="I726" t="s">
        <v>919</v>
      </c>
      <c r="J726" s="2">
        <v>9.9766530000000007</v>
      </c>
      <c r="K726" s="2">
        <v>11.01665</v>
      </c>
      <c r="L726" s="2" t="str">
        <f t="shared" si="33"/>
        <v>10–15°C</v>
      </c>
      <c r="M726" s="3">
        <v>82.333299999999994</v>
      </c>
      <c r="N726" s="3" t="str">
        <f t="shared" si="34"/>
        <v>80–100%</v>
      </c>
      <c r="O726" s="2">
        <v>21.208582</v>
      </c>
      <c r="P726" s="2" t="str">
        <f t="shared" si="35"/>
        <v>20–25 km/h</v>
      </c>
      <c r="Q726" s="2">
        <v>9</v>
      </c>
      <c r="R726" s="2">
        <v>432</v>
      </c>
      <c r="S726" s="2">
        <v>441</v>
      </c>
    </row>
    <row r="727" spans="1:19" x14ac:dyDescent="0.3">
      <c r="A727" s="2">
        <v>726</v>
      </c>
      <c r="B727" s="1" t="s">
        <v>898</v>
      </c>
      <c r="C727" t="s">
        <v>907</v>
      </c>
      <c r="D727">
        <v>2019</v>
      </c>
      <c r="E727" t="s">
        <v>931</v>
      </c>
      <c r="F727" t="s">
        <v>908</v>
      </c>
      <c r="G727" t="s">
        <v>913</v>
      </c>
      <c r="H727" t="s">
        <v>909</v>
      </c>
      <c r="I727" t="s">
        <v>918</v>
      </c>
      <c r="J727" s="2">
        <v>10.420847</v>
      </c>
      <c r="K727" s="2">
        <v>11.332100000000001</v>
      </c>
      <c r="L727" s="2" t="str">
        <f t="shared" si="33"/>
        <v>10–15°C</v>
      </c>
      <c r="M727" s="3">
        <v>65.291700000000006</v>
      </c>
      <c r="N727" s="3" t="str">
        <f t="shared" si="34"/>
        <v>60–80%</v>
      </c>
      <c r="O727" s="2">
        <v>23.458911000000001</v>
      </c>
      <c r="P727" s="2" t="str">
        <f t="shared" si="35"/>
        <v>20–25 km/h</v>
      </c>
      <c r="Q727" s="2">
        <v>247</v>
      </c>
      <c r="R727" s="2">
        <v>1867</v>
      </c>
      <c r="S727" s="2">
        <v>2114</v>
      </c>
    </row>
    <row r="728" spans="1:19" x14ac:dyDescent="0.3">
      <c r="A728" s="2">
        <v>727</v>
      </c>
      <c r="B728" s="1" t="s">
        <v>899</v>
      </c>
      <c r="C728" t="s">
        <v>907</v>
      </c>
      <c r="D728">
        <v>2019</v>
      </c>
      <c r="E728" t="s">
        <v>931</v>
      </c>
      <c r="F728" t="s">
        <v>908</v>
      </c>
      <c r="G728" t="s">
        <v>914</v>
      </c>
      <c r="H728" t="s">
        <v>909</v>
      </c>
      <c r="I728" t="s">
        <v>918</v>
      </c>
      <c r="J728" s="2">
        <v>10.386653000000001</v>
      </c>
      <c r="K728" s="2">
        <v>12.7523</v>
      </c>
      <c r="L728" s="2" t="str">
        <f t="shared" si="33"/>
        <v>10–15°C</v>
      </c>
      <c r="M728" s="3">
        <v>59</v>
      </c>
      <c r="N728" s="3" t="str">
        <f t="shared" si="34"/>
        <v>40–60%</v>
      </c>
      <c r="O728" s="2">
        <v>10.416556999999999</v>
      </c>
      <c r="P728" s="2" t="str">
        <f t="shared" si="35"/>
        <v>10–15 km/h</v>
      </c>
      <c r="Q728" s="2">
        <v>644</v>
      </c>
      <c r="R728" s="2">
        <v>2451</v>
      </c>
      <c r="S728" s="2">
        <v>3095</v>
      </c>
    </row>
    <row r="729" spans="1:19" x14ac:dyDescent="0.3">
      <c r="A729" s="2">
        <v>728</v>
      </c>
      <c r="B729" s="1" t="s">
        <v>900</v>
      </c>
      <c r="C729" t="s">
        <v>907</v>
      </c>
      <c r="D729">
        <v>2019</v>
      </c>
      <c r="E729" t="s">
        <v>931</v>
      </c>
      <c r="F729" t="s">
        <v>908</v>
      </c>
      <c r="G729" t="s">
        <v>915</v>
      </c>
      <c r="H729" t="s">
        <v>908</v>
      </c>
      <c r="I729" t="s">
        <v>918</v>
      </c>
      <c r="J729" s="2">
        <v>10.386653000000001</v>
      </c>
      <c r="K729" s="2">
        <v>12.12</v>
      </c>
      <c r="L729" s="2" t="str">
        <f t="shared" si="33"/>
        <v>10–15°C</v>
      </c>
      <c r="M729" s="3">
        <v>75.291700000000006</v>
      </c>
      <c r="N729" s="3" t="str">
        <f t="shared" si="34"/>
        <v>60–80%</v>
      </c>
      <c r="O729" s="2">
        <v>8.3336609999999993</v>
      </c>
      <c r="P729" s="2" t="str">
        <f t="shared" si="35"/>
        <v>5–10 km/h</v>
      </c>
      <c r="Q729" s="2">
        <v>159</v>
      </c>
      <c r="R729" s="2">
        <v>1182</v>
      </c>
      <c r="S729" s="2">
        <v>1341</v>
      </c>
    </row>
    <row r="730" spans="1:19" x14ac:dyDescent="0.3">
      <c r="A730" s="2">
        <v>729</v>
      </c>
      <c r="B730" s="1" t="s">
        <v>901</v>
      </c>
      <c r="C730" t="s">
        <v>907</v>
      </c>
      <c r="D730">
        <v>2019</v>
      </c>
      <c r="E730" t="s">
        <v>931</v>
      </c>
      <c r="F730" t="s">
        <v>908</v>
      </c>
      <c r="G730" t="s">
        <v>916</v>
      </c>
      <c r="H730" t="s">
        <v>908</v>
      </c>
      <c r="I730" t="s">
        <v>917</v>
      </c>
      <c r="J730" s="2">
        <v>10.489153</v>
      </c>
      <c r="K730" s="2">
        <v>11.585000000000001</v>
      </c>
      <c r="L730" s="2" t="str">
        <f t="shared" si="33"/>
        <v>10–15°C</v>
      </c>
      <c r="M730" s="3">
        <v>48.333300000000001</v>
      </c>
      <c r="N730" s="3" t="str">
        <f t="shared" si="34"/>
        <v>40–60%</v>
      </c>
      <c r="O730" s="2">
        <v>23.500518</v>
      </c>
      <c r="P730" s="2" t="str">
        <f t="shared" si="35"/>
        <v>20–25 km/h</v>
      </c>
      <c r="Q730" s="2">
        <v>364</v>
      </c>
      <c r="R730" s="2">
        <v>1432</v>
      </c>
      <c r="S730" s="2">
        <v>1796</v>
      </c>
    </row>
    <row r="731" spans="1:19" x14ac:dyDescent="0.3">
      <c r="A731" s="2">
        <v>730</v>
      </c>
      <c r="B731" s="1" t="s">
        <v>902</v>
      </c>
      <c r="C731" t="s">
        <v>907</v>
      </c>
      <c r="D731">
        <v>2019</v>
      </c>
      <c r="E731" t="s">
        <v>931</v>
      </c>
      <c r="F731" t="s">
        <v>908</v>
      </c>
      <c r="G731" t="s">
        <v>910</v>
      </c>
      <c r="H731" t="s">
        <v>909</v>
      </c>
      <c r="I731" t="s">
        <v>918</v>
      </c>
      <c r="J731" s="2">
        <v>8.8491529999999994</v>
      </c>
      <c r="K731" s="2">
        <v>11.17435</v>
      </c>
      <c r="L731" s="2" t="str">
        <f t="shared" si="33"/>
        <v>10–15°C</v>
      </c>
      <c r="M731" s="3">
        <v>57.75</v>
      </c>
      <c r="N731" s="3" t="str">
        <f t="shared" si="34"/>
        <v>40–60%</v>
      </c>
      <c r="O731" s="2">
        <v>10.374682</v>
      </c>
      <c r="P731" s="2" t="str">
        <f t="shared" si="35"/>
        <v>10–15 km/h</v>
      </c>
      <c r="Q731" s="2">
        <v>439</v>
      </c>
      <c r="R731" s="2">
        <v>2290</v>
      </c>
      <c r="S731" s="2">
        <v>2729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Views>
    <sheetView showGridLines="0" topLeftCell="B1" zoomScale="88" workbookViewId="0">
      <selection activeCell="K9" sqref="K9"/>
    </sheetView>
  </sheetViews>
  <sheetFormatPr defaultRowHeight="14.4" x14ac:dyDescent="0.3"/>
  <cols>
    <col min="1" max="2" width="20.109375" customWidth="1"/>
    <col min="3" max="3" width="13.21875" customWidth="1"/>
    <col min="4" max="4" width="19.33203125" customWidth="1"/>
    <col min="5" max="5" width="15.77734375" bestFit="1" customWidth="1"/>
    <col min="9" max="9" width="20.109375" customWidth="1"/>
    <col min="10" max="10" width="13.21875" customWidth="1"/>
    <col min="11" max="11" width="19.33203125" customWidth="1"/>
    <col min="12" max="12" width="15.77734375" customWidth="1"/>
  </cols>
  <sheetData>
    <row r="1" spans="1:12" x14ac:dyDescent="0.3">
      <c r="A1" s="4" t="s">
        <v>936</v>
      </c>
      <c r="B1" t="s">
        <v>938</v>
      </c>
    </row>
    <row r="2" spans="1:12" x14ac:dyDescent="0.3">
      <c r="A2" s="5" t="s">
        <v>925</v>
      </c>
      <c r="B2" s="2">
        <v>5772.3666666666668</v>
      </c>
      <c r="I2" s="4" t="s">
        <v>936</v>
      </c>
      <c r="J2" t="s">
        <v>938</v>
      </c>
      <c r="K2" t="s">
        <v>939</v>
      </c>
      <c r="L2" t="s">
        <v>940</v>
      </c>
    </row>
    <row r="3" spans="1:12" x14ac:dyDescent="0.3">
      <c r="A3" s="5" t="s">
        <v>928</v>
      </c>
      <c r="B3" s="2">
        <v>5766.5166666666664</v>
      </c>
      <c r="I3" s="5" t="s">
        <v>914</v>
      </c>
      <c r="J3" s="2">
        <v>4690.2884615384619</v>
      </c>
      <c r="K3" s="2">
        <v>3938</v>
      </c>
      <c r="L3" s="2">
        <v>752.28846153846155</v>
      </c>
    </row>
    <row r="4" spans="1:12" x14ac:dyDescent="0.3">
      <c r="A4" s="5" t="s">
        <v>927</v>
      </c>
      <c r="B4" s="2">
        <v>5664.4193548387093</v>
      </c>
      <c r="I4" s="5" t="s">
        <v>913</v>
      </c>
      <c r="J4" s="2">
        <v>4667.2596153846152</v>
      </c>
      <c r="K4" s="2">
        <v>4076.2980769230771</v>
      </c>
      <c r="L4" s="2">
        <v>590.96153846153845</v>
      </c>
    </row>
    <row r="5" spans="1:12" x14ac:dyDescent="0.3">
      <c r="A5" s="5" t="s">
        <v>926</v>
      </c>
      <c r="B5" s="2">
        <v>5563.677419354839</v>
      </c>
      <c r="I5" s="5" t="s">
        <v>912</v>
      </c>
      <c r="J5" s="2">
        <v>4574.8932038834955</v>
      </c>
      <c r="K5" s="2">
        <v>4019.029126213592</v>
      </c>
      <c r="L5" s="2">
        <v>555.86407766990294</v>
      </c>
    </row>
    <row r="6" spans="1:12" x14ac:dyDescent="0.3">
      <c r="A6" s="5" t="s">
        <v>924</v>
      </c>
      <c r="B6" s="2">
        <v>5349.7741935483873</v>
      </c>
      <c r="I6" s="5" t="s">
        <v>915</v>
      </c>
      <c r="J6" s="2">
        <v>4550.5428571428574</v>
      </c>
      <c r="K6" s="2">
        <v>3085.2857142857142</v>
      </c>
      <c r="L6" s="2">
        <v>1465.2571428571428</v>
      </c>
    </row>
    <row r="7" spans="1:12" x14ac:dyDescent="0.3">
      <c r="A7" s="5" t="s">
        <v>929</v>
      </c>
      <c r="B7" s="2">
        <v>5199.2258064516127</v>
      </c>
      <c r="I7" s="5" t="s">
        <v>911</v>
      </c>
      <c r="J7" s="2">
        <v>4510.6634615384619</v>
      </c>
      <c r="K7" s="2">
        <v>3954.4807692307691</v>
      </c>
      <c r="L7" s="2">
        <v>556.18269230769226</v>
      </c>
    </row>
    <row r="8" spans="1:12" x14ac:dyDescent="0.3">
      <c r="A8" s="5" t="s">
        <v>923</v>
      </c>
      <c r="B8" s="2">
        <v>4484.8999999999996</v>
      </c>
      <c r="I8" s="5" t="s">
        <v>910</v>
      </c>
      <c r="J8" s="2">
        <v>4338.1238095238095</v>
      </c>
      <c r="K8" s="2">
        <v>3663.9904761904763</v>
      </c>
      <c r="L8" s="2">
        <v>674.13333333333333</v>
      </c>
    </row>
    <row r="9" spans="1:12" x14ac:dyDescent="0.3">
      <c r="A9" s="5" t="s">
        <v>930</v>
      </c>
      <c r="B9" s="2">
        <v>4247.1833333333334</v>
      </c>
      <c r="I9" s="5" t="s">
        <v>916</v>
      </c>
      <c r="J9" s="2">
        <v>4228.8285714285712</v>
      </c>
      <c r="K9" s="2">
        <v>2890.5333333333333</v>
      </c>
      <c r="L9" s="2">
        <v>1338.2952380952381</v>
      </c>
    </row>
    <row r="10" spans="1:12" x14ac:dyDescent="0.3">
      <c r="A10" s="5" t="s">
        <v>922</v>
      </c>
      <c r="B10" s="2">
        <v>3692.2580645161293</v>
      </c>
      <c r="I10" s="5" t="s">
        <v>937</v>
      </c>
      <c r="J10" s="2">
        <v>4508.0068493150684</v>
      </c>
      <c r="K10" s="2">
        <v>3658.7575342465752</v>
      </c>
      <c r="L10" s="2">
        <v>849.24931506849316</v>
      </c>
    </row>
    <row r="11" spans="1:12" x14ac:dyDescent="0.3">
      <c r="A11" s="5" t="s">
        <v>931</v>
      </c>
      <c r="B11" s="2">
        <v>3403.8064516129034</v>
      </c>
    </row>
    <row r="12" spans="1:12" x14ac:dyDescent="0.3">
      <c r="A12" s="5" t="s">
        <v>932</v>
      </c>
      <c r="B12" s="2">
        <v>2669.9642857142858</v>
      </c>
      <c r="I12" s="4" t="s">
        <v>936</v>
      </c>
      <c r="J12" t="s">
        <v>938</v>
      </c>
    </row>
    <row r="13" spans="1:12" x14ac:dyDescent="0.3">
      <c r="A13" s="5" t="s">
        <v>921</v>
      </c>
      <c r="B13" s="2">
        <v>2176.3387096774195</v>
      </c>
      <c r="I13" s="5" t="s">
        <v>908</v>
      </c>
      <c r="J13" s="2">
        <v>4330.1688311688313</v>
      </c>
    </row>
    <row r="14" spans="1:12" x14ac:dyDescent="0.3">
      <c r="A14" s="5" t="s">
        <v>937</v>
      </c>
      <c r="B14" s="2">
        <v>4508.0068493150684</v>
      </c>
      <c r="I14" s="5" t="s">
        <v>909</v>
      </c>
      <c r="J14" s="2">
        <v>4590.3326653306613</v>
      </c>
    </row>
    <row r="15" spans="1:12" x14ac:dyDescent="0.3">
      <c r="I15" s="5" t="s">
        <v>937</v>
      </c>
      <c r="J15" s="2">
        <v>4508.0068493150684</v>
      </c>
    </row>
    <row r="16" spans="1:12" x14ac:dyDescent="0.3">
      <c r="A16" s="4" t="s">
        <v>936</v>
      </c>
      <c r="B16" t="s">
        <v>938</v>
      </c>
    </row>
    <row r="17" spans="1:12" x14ac:dyDescent="0.3">
      <c r="A17" s="5" t="s">
        <v>905</v>
      </c>
      <c r="B17" s="2">
        <v>5644.3031914893618</v>
      </c>
      <c r="I17" s="4" t="s">
        <v>936</v>
      </c>
      <c r="J17" t="s">
        <v>938</v>
      </c>
      <c r="K17" t="s">
        <v>940</v>
      </c>
      <c r="L17" t="s">
        <v>939</v>
      </c>
    </row>
    <row r="18" spans="1:12" x14ac:dyDescent="0.3">
      <c r="A18" s="5" t="s">
        <v>904</v>
      </c>
      <c r="B18" s="2">
        <v>4992.33152173913</v>
      </c>
      <c r="I18" s="5" t="s">
        <v>908</v>
      </c>
      <c r="J18" s="2">
        <v>4330.1688311688313</v>
      </c>
      <c r="K18" s="2">
        <v>1371.1341991341992</v>
      </c>
      <c r="L18" s="2">
        <v>2959.0346320346321</v>
      </c>
    </row>
    <row r="19" spans="1:12" x14ac:dyDescent="0.3">
      <c r="A19" s="5" t="s">
        <v>906</v>
      </c>
      <c r="B19" s="2">
        <v>4728.1629213483147</v>
      </c>
      <c r="I19" s="5" t="s">
        <v>909</v>
      </c>
      <c r="J19" s="2">
        <v>4590.3326653306613</v>
      </c>
      <c r="K19" s="2">
        <v>607.65531062124251</v>
      </c>
      <c r="L19" s="2">
        <v>3982.677354709419</v>
      </c>
    </row>
    <row r="20" spans="1:12" x14ac:dyDescent="0.3">
      <c r="A20" s="5" t="s">
        <v>907</v>
      </c>
      <c r="B20" s="2">
        <v>2608.411111111111</v>
      </c>
      <c r="I20" s="5" t="s">
        <v>937</v>
      </c>
      <c r="J20" s="2">
        <v>4508.0068493150684</v>
      </c>
      <c r="K20" s="2">
        <v>849.24931506849316</v>
      </c>
      <c r="L20" s="2">
        <v>3658.7575342465752</v>
      </c>
    </row>
    <row r="21" spans="1:12" x14ac:dyDescent="0.3">
      <c r="A21" s="5" t="s">
        <v>937</v>
      </c>
      <c r="B21" s="2">
        <v>4508.0068493150684</v>
      </c>
    </row>
    <row r="27" spans="1:12" x14ac:dyDescent="0.3">
      <c r="A27" s="4" t="s">
        <v>936</v>
      </c>
      <c r="B27" t="s">
        <v>938</v>
      </c>
      <c r="C27" t="s">
        <v>939</v>
      </c>
      <c r="D27" t="s">
        <v>940</v>
      </c>
    </row>
    <row r="28" spans="1:12" x14ac:dyDescent="0.3">
      <c r="A28" s="5" t="s">
        <v>908</v>
      </c>
      <c r="B28" s="2">
        <v>4530.9026798307477</v>
      </c>
      <c r="C28" s="2">
        <v>3688.0352609308884</v>
      </c>
      <c r="D28" s="2">
        <v>842.86741889985899</v>
      </c>
    </row>
    <row r="29" spans="1:12" x14ac:dyDescent="0.3">
      <c r="A29" s="5" t="s">
        <v>909</v>
      </c>
      <c r="B29" s="2">
        <v>3735</v>
      </c>
      <c r="C29" s="2">
        <v>2670.2857142857142</v>
      </c>
      <c r="D29" s="2">
        <v>1064.7142857142858</v>
      </c>
    </row>
    <row r="30" spans="1:12" x14ac:dyDescent="0.3">
      <c r="A30" s="5" t="s">
        <v>937</v>
      </c>
      <c r="B30" s="2">
        <v>4508.0068493150684</v>
      </c>
      <c r="C30" s="2">
        <v>3658.7575342465752</v>
      </c>
      <c r="D30" s="2">
        <v>849.24931506849316</v>
      </c>
    </row>
    <row r="33" spans="1:4" x14ac:dyDescent="0.3">
      <c r="A33" s="4" t="s">
        <v>936</v>
      </c>
      <c r="B33" t="s">
        <v>938</v>
      </c>
      <c r="C33" t="s">
        <v>939</v>
      </c>
      <c r="D33" t="s">
        <v>940</v>
      </c>
    </row>
    <row r="34" spans="1:4" x14ac:dyDescent="0.3">
      <c r="A34" s="5" t="s">
        <v>919</v>
      </c>
      <c r="B34" s="2">
        <v>1803.2857142857142</v>
      </c>
      <c r="C34" s="2">
        <v>1617.8095238095239</v>
      </c>
      <c r="D34" s="2">
        <v>185.47619047619048</v>
      </c>
    </row>
    <row r="35" spans="1:4" x14ac:dyDescent="0.3">
      <c r="A35" s="5" t="s">
        <v>918</v>
      </c>
      <c r="B35" s="2">
        <v>4044.8130081300815</v>
      </c>
      <c r="C35" s="2">
        <v>3354.9308943089432</v>
      </c>
      <c r="D35" s="2">
        <v>689.8821138211382</v>
      </c>
    </row>
    <row r="36" spans="1:4" x14ac:dyDescent="0.3">
      <c r="A36" s="5" t="s">
        <v>917</v>
      </c>
      <c r="B36" s="2">
        <v>4876.7861771058315</v>
      </c>
      <c r="C36" s="2">
        <v>3912.7559395248381</v>
      </c>
      <c r="D36" s="2">
        <v>964.03023758099357</v>
      </c>
    </row>
    <row r="37" spans="1:4" x14ac:dyDescent="0.3">
      <c r="A37" s="5" t="s">
        <v>937</v>
      </c>
      <c r="B37" s="2">
        <v>4508.0068493150684</v>
      </c>
      <c r="C37" s="2">
        <v>3658.7575342465752</v>
      </c>
      <c r="D37" s="2">
        <v>849.24931506849316</v>
      </c>
    </row>
    <row r="42" spans="1:4" x14ac:dyDescent="0.3">
      <c r="A42" s="4" t="s">
        <v>936</v>
      </c>
      <c r="B42" t="s">
        <v>938</v>
      </c>
      <c r="C42" t="s">
        <v>939</v>
      </c>
      <c r="D42" t="s">
        <v>940</v>
      </c>
    </row>
    <row r="43" spans="1:4" x14ac:dyDescent="0.3">
      <c r="A43" s="5" t="s">
        <v>947</v>
      </c>
      <c r="B43" s="2">
        <v>5703.1301369863013</v>
      </c>
      <c r="C43" s="2">
        <v>4399.8150684931506</v>
      </c>
      <c r="D43" s="2">
        <v>1303.3150684931506</v>
      </c>
    </row>
    <row r="44" spans="1:4" x14ac:dyDescent="0.3">
      <c r="A44" s="5" t="s">
        <v>946</v>
      </c>
      <c r="B44" s="2">
        <v>5688.9615384615381</v>
      </c>
      <c r="C44" s="2">
        <v>4541.8076923076924</v>
      </c>
      <c r="D44" s="2">
        <v>1147.1538461538462</v>
      </c>
    </row>
    <row r="45" spans="1:4" x14ac:dyDescent="0.3">
      <c r="A45" s="5" t="s">
        <v>948</v>
      </c>
      <c r="B45" s="2">
        <v>5478.958333333333</v>
      </c>
      <c r="C45" s="2">
        <v>4398.333333333333</v>
      </c>
      <c r="D45" s="2">
        <v>1080.625</v>
      </c>
    </row>
    <row r="46" spans="1:4" x14ac:dyDescent="0.3">
      <c r="A46" s="5" t="s">
        <v>945</v>
      </c>
      <c r="B46" s="2">
        <v>4483.1964285714284</v>
      </c>
      <c r="C46" s="2">
        <v>3648.8214285714284</v>
      </c>
      <c r="D46" s="2">
        <v>834.375</v>
      </c>
    </row>
    <row r="47" spans="1:4" x14ac:dyDescent="0.3">
      <c r="A47" s="5" t="s">
        <v>949</v>
      </c>
      <c r="B47" s="2">
        <v>3824</v>
      </c>
      <c r="C47" s="2">
        <v>2916.75</v>
      </c>
      <c r="D47" s="2">
        <v>907.25</v>
      </c>
    </row>
    <row r="48" spans="1:4" x14ac:dyDescent="0.3">
      <c r="A48" s="5" t="s">
        <v>944</v>
      </c>
      <c r="B48" s="2">
        <v>3658.290076335878</v>
      </c>
      <c r="C48" s="2">
        <v>3114.0534351145038</v>
      </c>
      <c r="D48" s="2">
        <v>544.23664122137404</v>
      </c>
    </row>
    <row r="49" spans="1:5" x14ac:dyDescent="0.3">
      <c r="A49" s="5" t="s">
        <v>943</v>
      </c>
      <c r="B49" s="2">
        <v>2537.7333333333331</v>
      </c>
      <c r="C49" s="2">
        <v>2274.1238095238095</v>
      </c>
      <c r="D49" s="2">
        <v>263.60952380952381</v>
      </c>
    </row>
    <row r="50" spans="1:5" x14ac:dyDescent="0.3">
      <c r="A50" s="5" t="s">
        <v>950</v>
      </c>
      <c r="B50" s="2">
        <v>1640.0384615384614</v>
      </c>
      <c r="C50" s="2">
        <v>1542.1153846153845</v>
      </c>
      <c r="D50" s="2">
        <v>97.92307692307692</v>
      </c>
    </row>
    <row r="51" spans="1:5" x14ac:dyDescent="0.3">
      <c r="A51" s="5" t="s">
        <v>942</v>
      </c>
      <c r="B51" s="2">
        <v>983.5</v>
      </c>
      <c r="C51" s="2">
        <v>862</v>
      </c>
      <c r="D51" s="2">
        <v>121.5</v>
      </c>
    </row>
    <row r="52" spans="1:5" x14ac:dyDescent="0.3">
      <c r="A52" s="5" t="s">
        <v>937</v>
      </c>
      <c r="B52" s="2">
        <v>4508.0068493150684</v>
      </c>
      <c r="C52" s="2">
        <v>3658.7575342465752</v>
      </c>
      <c r="D52" s="2">
        <v>849.24931506849316</v>
      </c>
    </row>
    <row r="63" spans="1:5" x14ac:dyDescent="0.3">
      <c r="B63" s="4" t="s">
        <v>936</v>
      </c>
      <c r="C63" t="s">
        <v>938</v>
      </c>
      <c r="D63" t="s">
        <v>939</v>
      </c>
      <c r="E63" t="s">
        <v>940</v>
      </c>
    </row>
    <row r="64" spans="1:5" x14ac:dyDescent="0.3">
      <c r="B64" s="5" t="s">
        <v>955</v>
      </c>
      <c r="C64" s="2">
        <v>4759.4811320754716</v>
      </c>
      <c r="D64" s="2">
        <v>3851.9591194968552</v>
      </c>
      <c r="E64" s="2">
        <v>907.52201257861634</v>
      </c>
    </row>
    <row r="65" spans="2:5" x14ac:dyDescent="0.3">
      <c r="B65" s="5" t="s">
        <v>954</v>
      </c>
      <c r="C65" s="2">
        <v>4588.9691780821922</v>
      </c>
      <c r="D65" s="2">
        <v>3725.3595890410961</v>
      </c>
      <c r="E65" s="2">
        <v>863.60958904109589</v>
      </c>
    </row>
    <row r="66" spans="2:5" x14ac:dyDescent="0.3">
      <c r="B66" s="5" t="s">
        <v>953</v>
      </c>
      <c r="C66" s="2">
        <v>4583.0740740740739</v>
      </c>
      <c r="D66" s="2">
        <v>3669.0740740740739</v>
      </c>
      <c r="E66" s="2">
        <v>914</v>
      </c>
    </row>
    <row r="67" spans="2:5" x14ac:dyDescent="0.3">
      <c r="B67" s="5" t="s">
        <v>956</v>
      </c>
      <c r="C67" s="2">
        <v>3421.4285714285716</v>
      </c>
      <c r="D67" s="2">
        <v>2828.7912087912086</v>
      </c>
      <c r="E67" s="2">
        <v>592.63736263736268</v>
      </c>
    </row>
    <row r="68" spans="2:5" x14ac:dyDescent="0.3">
      <c r="B68" s="5" t="s">
        <v>952</v>
      </c>
      <c r="C68" s="2">
        <v>1129</v>
      </c>
      <c r="D68" s="2">
        <v>840</v>
      </c>
      <c r="E68" s="2">
        <v>289</v>
      </c>
    </row>
    <row r="69" spans="2:5" x14ac:dyDescent="0.3">
      <c r="B69" s="5" t="s">
        <v>937</v>
      </c>
      <c r="C69" s="2">
        <v>4508.0068493150684</v>
      </c>
      <c r="D69" s="2">
        <v>3658.7575342465752</v>
      </c>
      <c r="E69" s="2">
        <v>849.24931506849316</v>
      </c>
    </row>
    <row r="74" spans="2:5" x14ac:dyDescent="0.3">
      <c r="B74" s="4" t="s">
        <v>936</v>
      </c>
      <c r="C74" t="s">
        <v>938</v>
      </c>
      <c r="D74" t="s">
        <v>939</v>
      </c>
      <c r="E74" t="s">
        <v>940</v>
      </c>
    </row>
    <row r="75" spans="2:5" x14ac:dyDescent="0.3">
      <c r="B75" s="5" t="s">
        <v>963</v>
      </c>
      <c r="C75" s="2">
        <v>4953.5308056872036</v>
      </c>
      <c r="D75" s="2">
        <v>4004.9763033175354</v>
      </c>
      <c r="E75" s="2">
        <v>948.55450236966828</v>
      </c>
    </row>
    <row r="76" spans="2:5" x14ac:dyDescent="0.3">
      <c r="B76" s="5" t="s">
        <v>957</v>
      </c>
      <c r="C76" s="2">
        <v>4665.2903225806449</v>
      </c>
      <c r="D76" s="2">
        <v>3825.1612903225805</v>
      </c>
      <c r="E76" s="2">
        <v>840.12903225806451</v>
      </c>
    </row>
    <row r="77" spans="2:5" x14ac:dyDescent="0.3">
      <c r="B77" s="5" t="s">
        <v>958</v>
      </c>
      <c r="C77" s="2">
        <v>4534.3420074349442</v>
      </c>
      <c r="D77" s="2">
        <v>3670.6914498141264</v>
      </c>
      <c r="E77" s="2">
        <v>863.65055762081784</v>
      </c>
    </row>
    <row r="78" spans="2:5" x14ac:dyDescent="0.3">
      <c r="B78" s="5" t="s">
        <v>959</v>
      </c>
      <c r="C78" s="2">
        <v>4353.385135135135</v>
      </c>
      <c r="D78" s="2">
        <v>3490.4121621621621</v>
      </c>
      <c r="E78" s="2">
        <v>862.97297297297303</v>
      </c>
    </row>
    <row r="79" spans="2:5" x14ac:dyDescent="0.3">
      <c r="B79" s="5" t="s">
        <v>960</v>
      </c>
      <c r="C79" s="2">
        <v>3421.3148148148148</v>
      </c>
      <c r="D79" s="2">
        <v>2920.8333333333335</v>
      </c>
      <c r="E79" s="2">
        <v>500.48148148148147</v>
      </c>
    </row>
    <row r="80" spans="2:5" x14ac:dyDescent="0.3">
      <c r="B80" s="5" t="s">
        <v>961</v>
      </c>
      <c r="C80" s="2">
        <v>3162.5625</v>
      </c>
      <c r="D80" s="2">
        <v>2777.375</v>
      </c>
      <c r="E80" s="2">
        <v>385.1875</v>
      </c>
    </row>
    <row r="81" spans="2:5" x14ac:dyDescent="0.3">
      <c r="B81" s="5" t="s">
        <v>962</v>
      </c>
      <c r="C81" s="2">
        <v>1635</v>
      </c>
      <c r="D81" s="2">
        <v>1103</v>
      </c>
      <c r="E81" s="2">
        <v>532</v>
      </c>
    </row>
    <row r="82" spans="2:5" x14ac:dyDescent="0.3">
      <c r="B82" s="5" t="s">
        <v>937</v>
      </c>
      <c r="C82" s="2">
        <v>4508.0068493150684</v>
      </c>
      <c r="D82" s="2">
        <v>3658.7575342465752</v>
      </c>
      <c r="E82" s="2">
        <v>849.24931506849316</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33" zoomScaleNormal="40" workbookViewId="0">
      <selection activeCell="Z79" sqref="Z79"/>
    </sheetView>
  </sheetViews>
  <sheetFormatPr defaultRowHeight="14.4" x14ac:dyDescent="0.3"/>
  <cols>
    <col min="1" max="16384" width="8.88671875" style="6"/>
  </cols>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4</vt:i4>
      </vt:variant>
    </vt:vector>
  </HeadingPairs>
  <TitlesOfParts>
    <vt:vector size="4" baseType="lpstr">
      <vt:lpstr>day-original</vt:lpstr>
      <vt:lpstr>day-cleaned</vt:lpstr>
      <vt:lpstr>analysis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2026-03-26T21:04:32Z</dcterms:created>
  <dcterms:modified xsi:type="dcterms:W3CDTF">2026-03-30T17:51:23Z</dcterms:modified>
</cp:coreProperties>
</file>